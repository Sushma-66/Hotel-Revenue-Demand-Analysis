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_Data" sheetId="2" state="visible" r:id="rId4"/>
    <sheet name="Daily_Totals" sheetId="3" state="visible" r:id="rId5"/>
    <sheet name="KPI_Summary" sheetId="4" state="visible" r:id="rId6"/>
    <sheet name="Weekly_Summary" sheetId="5" state="visible" r:id="rId7"/>
    <sheet name="Segment_Analysis" sheetId="6" state="visible" r:id="rId8"/>
    <sheet name="Demand_Pattern" sheetId="7" state="visible" r:id="rId9"/>
    <sheet name="CompSet" sheetId="8" state="visible" r:id="rId10"/>
    <sheet name="Pickup_Detail" sheetId="9" state="visible" r:id="rId11"/>
    <sheet name="Pickup_Report" sheetId="10" state="visible" r:id="rId12"/>
    <sheet name="Group_Displacement" sheetId="11" state="visible" r:id="rId13"/>
    <sheet name="Forecast" sheetId="12" state="visible" r:id="rId14"/>
    <sheet name="Dashboard" sheetId="13" state="visible" r:id="rId15"/>
    <sheet name="Recommendations" sheetId="14" state="visible" r:id="rId16"/>
  </sheets>
  <definedNames>
    <definedName function="false" hidden="false" localSheetId="12" name="_xlnm.Print_Area" vbProcedure="false">Dashboard!$A$1:$AC$40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<sst xmlns="http://schemas.openxmlformats.org/spreadsheetml/2006/main" count="9125" uniqueCount="535">
  <si>
    <t xml:space="preserve">Hotel Revenue &amp; Demand Analysis</t>
  </si>
  <si>
    <t xml:space="preserve">A synthetic revenue-management workbook covering KPI reporting, demand patterns, segment mix, competitive positioning, booking pace, group displacement and forward forecasting for a city-centre hotel.</t>
  </si>
  <si>
    <t xml:space="preserve">Data</t>
  </si>
  <si>
    <t xml:space="preserve">Fully synthetic - one year (Jan-Dec 2025) of daily bookings for a fictional 300-room city-centre hotel ("Meridian City Hotel"). No real property, guest or transaction data is used anywhere in this workbook.</t>
  </si>
  <si>
    <t xml:space="preserve">Currency</t>
  </si>
  <si>
    <t xml:space="preserve">All figures in GBP (£).</t>
  </si>
  <si>
    <t xml:space="preserve">Structure</t>
  </si>
  <si>
    <t xml:space="preserve">Raw_Data (segment-level daily bookings) -&gt; Daily_Totals (one row per date) -&gt; KPI_Summary / Weekly_Summary / Segment_Analysis / Demand_Pattern (formula-driven from the tables above). Pickup_Detail (lead-time bookings) -&gt; Pickup_Report (pace curves). Group_Displacement and Forecast are standalone analysis tabs.</t>
  </si>
  <si>
    <t xml:space="preserve">Comp Set</t>
  </si>
  <si>
    <t xml:space="preserve">The three competitor rows on the CompSet tab are illustrative estimates for demonstration purposes only, marked in blue - not real competitor data.</t>
  </si>
  <si>
    <t xml:space="preserve">Forecast assumptions</t>
  </si>
  <si>
    <t xml:space="preserve">The Forecast tab applies simple YoY growth assumptions (blue, editable cells) to prior-year monthly figures. A production forecast would weight recent pickup pace (see Pickup_Report) more heavily than a flat growth rate - noted on that tab.</t>
  </si>
  <si>
    <t xml:space="preserve">Formulas</t>
  </si>
  <si>
    <t xml:space="preserve">Every summary figure is a live formula (SUMIFS / AVERAGEIF / INDEX-MATCH) referencing source data - nothing is hardcoded except the clearly-marked blue assumption cells. Change any input and the workbook recalculates.</t>
  </si>
  <si>
    <t xml:space="preserve">Purpose</t>
  </si>
  <si>
    <t xml:space="preserve">Built as a portfolio piece to demonstrate the analysis a Revenue Analyst role requires: occupancy/ADR/RevPAR reporting at daily/weekly/monthly cadence, demand and pace/pickup analysis, segment/channel mix, comp-set positioning (MPI/ARI/RGI), group displacement evaluation, and revenue forecasting.</t>
  </si>
  <si>
    <t xml:space="preserve">Tabs</t>
  </si>
  <si>
    <t xml:space="preserve">- Raw_Data</t>
  </si>
  <si>
    <t xml:space="preserve">- Daily_Totals</t>
  </si>
  <si>
    <t xml:space="preserve">- KPI_Summary</t>
  </si>
  <si>
    <t xml:space="preserve">- Weekly_Summary</t>
  </si>
  <si>
    <t xml:space="preserve">- Segment_Analysis</t>
  </si>
  <si>
    <t xml:space="preserve">- Demand_Pattern</t>
  </si>
  <si>
    <t xml:space="preserve">- CompSet</t>
  </si>
  <si>
    <t xml:space="preserve">- Pickup_Detail</t>
  </si>
  <si>
    <t xml:space="preserve">- Pickup_Report</t>
  </si>
  <si>
    <t xml:space="preserve">- Group_Displacement</t>
  </si>
  <si>
    <t xml:space="preserve">- Forecast</t>
  </si>
  <si>
    <t xml:space="preserve">- Dashboard</t>
  </si>
  <si>
    <t xml:space="preserve">- Recommendations</t>
  </si>
  <si>
    <t xml:space="preserve">Date</t>
  </si>
  <si>
    <t xml:space="preserve">DayOfWeek</t>
  </si>
  <si>
    <t xml:space="preserve">MonthName</t>
  </si>
  <si>
    <t xml:space="preserve">MonthNum</t>
  </si>
  <si>
    <t xml:space="preserve">WeekNum</t>
  </si>
  <si>
    <t xml:space="preserve">Segment</t>
  </si>
  <si>
    <t xml:space="preserve">Channel</t>
  </si>
  <si>
    <t xml:space="preserve">RoomsSold</t>
  </si>
  <si>
    <t xml:space="preserve">RoomRevenue</t>
  </si>
  <si>
    <t xml:space="preserve">RoomsAvailable</t>
  </si>
  <si>
    <t xml:space="preserve">2025-01-01</t>
  </si>
  <si>
    <t xml:space="preserve">Wednesday</t>
  </si>
  <si>
    <t xml:space="preserve">January</t>
  </si>
  <si>
    <t xml:space="preserve">Corporate</t>
  </si>
  <si>
    <t xml:space="preserve">Direct/Negotiated</t>
  </si>
  <si>
    <t xml:space="preserve">Leisure</t>
  </si>
  <si>
    <t xml:space="preserve">Direct/Website</t>
  </si>
  <si>
    <t xml:space="preserve">Group</t>
  </si>
  <si>
    <t xml:space="preserve">Direct/MICE</t>
  </si>
  <si>
    <t xml:space="preserve">OTA</t>
  </si>
  <si>
    <t xml:space="preserve">2025-01-02</t>
  </si>
  <si>
    <t xml:space="preserve">Thursday</t>
  </si>
  <si>
    <t xml:space="preserve">2025-01-03</t>
  </si>
  <si>
    <t xml:space="preserve">Friday</t>
  </si>
  <si>
    <t xml:space="preserve">2025-01-04</t>
  </si>
  <si>
    <t xml:space="preserve">Saturday</t>
  </si>
  <si>
    <t xml:space="preserve">2025-01-05</t>
  </si>
  <si>
    <t xml:space="preserve">Sunday</t>
  </si>
  <si>
    <t xml:space="preserve">2025-01-06</t>
  </si>
  <si>
    <t xml:space="preserve">Monday</t>
  </si>
  <si>
    <t xml:space="preserve">2025-01-07</t>
  </si>
  <si>
    <t xml:space="preserve">Tuesday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</si>
  <si>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</si>
  <si>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</si>
  <si>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</si>
  <si>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</si>
  <si>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</si>
  <si>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</si>
  <si>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</si>
  <si>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</si>
  <si>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</si>
  <si>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</si>
  <si>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</si>
  <si>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</si>
  <si>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</si>
  <si>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</si>
  <si>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</si>
  <si>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</si>
  <si>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</si>
  <si>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</si>
  <si>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</si>
  <si>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</si>
  <si>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</si>
  <si>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</si>
  <si>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</si>
  <si>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</si>
  <si>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</si>
  <si>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February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</si>
  <si>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</si>
  <si>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</si>
  <si>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</si>
  <si>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</si>
  <si>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</si>
  <si>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</si>
  <si>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</si>
  <si>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</si>
  <si>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</si>
  <si>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</si>
  <si>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</si>
  <si>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</si>
  <si>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</si>
  <si>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</si>
  <si>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</si>
  <si>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</si>
  <si>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</si>
  <si>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</si>
  <si>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</si>
  <si>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</si>
  <si>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</si>
  <si>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</si>
  <si>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</si>
  <si>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</si>
  <si>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</si>
  <si>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</si>
  <si>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</si>
  <si>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</si>
  <si>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March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</si>
  <si>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</si>
  <si>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</si>
  <si>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</si>
  <si>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</si>
  <si>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</si>
  <si>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</si>
  <si>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</si>
  <si>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</si>
  <si>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</si>
  <si>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</si>
  <si>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</si>
  <si>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</si>
  <si>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</si>
  <si>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</si>
  <si>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</si>
  <si>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</si>
  <si>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</si>
  <si>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</si>
  <si>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</si>
  <si>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</si>
  <si>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</si>
  <si>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</si>
  <si>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</si>
  <si>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</si>
  <si>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</si>
  <si>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</si>
  <si>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</si>
  <si>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</si>
  <si>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</si>
  <si>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</si>
  <si>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2025-04-01</t>
  </si>
  <si>
    <t xml:space="preserve">April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</si>
  <si>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</si>
  <si>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</si>
  <si>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</si>
  <si>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</si>
  <si>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</si>
  <si>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</si>
  <si>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</si>
  <si>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</si>
  <si>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</si>
  <si>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</si>
  <si>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</si>
  <si>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</si>
  <si>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</si>
  <si>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</si>
  <si>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</si>
  <si>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</si>
  <si>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</si>
  <si>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</si>
  <si>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</si>
  <si>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</si>
  <si>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</si>
  <si>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</si>
  <si>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</si>
  <si>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</si>
  <si>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</si>
  <si>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</si>
  <si>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</si>
  <si>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</si>
  <si>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</si>
  <si>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</si>
  <si>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May</t>
  </si>
  <si>
    <t xml:space="preserve">2025-05-02</t>
  </si>
  <si>
    <t xml:space="preserve">2025-05-03</t>
  </si>
  <si>
    <t xml:space="preserve">2025-05-04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</si>
  <si>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</si>
  <si>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</si>
  <si>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</si>
  <si>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</si>
  <si>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</si>
  <si>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2025-05-10</t>
  </si>
  <si>
    <t xml:space="preserve">2025-05-11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</si>
  <si>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</si>
  <si>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</si>
  <si>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</si>
  <si>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</si>
  <si>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</si>
  <si>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2025-05-17</t>
  </si>
  <si>
    <t xml:space="preserve">2025-05-18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</si>
  <si>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</si>
  <si>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</si>
  <si>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</si>
  <si>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</si>
  <si>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</si>
  <si>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2025-05-24</t>
  </si>
  <si>
    <t xml:space="preserve">2025-05-25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</si>
  <si>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</si>
  <si>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</si>
  <si>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</si>
  <si>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</si>
  <si>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</si>
  <si>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2025-05-31</t>
  </si>
  <si>
    <t xml:space="preserve">2025-06-01</t>
  </si>
  <si>
    <t xml:space="preserve">June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</si>
  <si>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</si>
  <si>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</si>
  <si>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</si>
  <si>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</si>
  <si>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</si>
  <si>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</si>
  <si>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</si>
  <si>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</si>
  <si>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</si>
  <si>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</si>
  <si>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</si>
  <si>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</si>
  <si>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</si>
  <si>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</si>
  <si>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</si>
  <si>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</si>
  <si>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</si>
  <si>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</si>
  <si>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</si>
  <si>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</si>
  <si>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</si>
  <si>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</si>
  <si>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</si>
  <si>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</si>
  <si>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</si>
  <si>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</si>
  <si>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</si>
  <si>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</si>
  <si>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2025-06-30</t>
  </si>
  <si>
    <t xml:space="preserve">2025-07-01</t>
  </si>
  <si>
    <t xml:space="preserve">July</t>
  </si>
  <si>
    <t xml:space="preserve">2025-07-02</t>
  </si>
  <si>
    <t xml:space="preserve">2025-07-03</t>
  </si>
  <si>
    <t xml:space="preserve">2025-07-04</t>
  </si>
  <si>
    <t xml:space="preserve">2025-07-05</t>
  </si>
  <si>
    <t xml:space="preserve">2025-07-06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</si>
  <si>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</si>
  <si>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</si>
  <si>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</si>
  <si>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</si>
  <si>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</si>
  <si>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</si>
  <si>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</si>
  <si>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</si>
  <si>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</si>
  <si>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</si>
  <si>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</si>
  <si>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</si>
  <si>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</si>
  <si>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</si>
  <si>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</si>
  <si>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</si>
  <si>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</si>
  <si>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</si>
  <si>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</si>
  <si>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</si>
  <si>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2025-07-27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</si>
  <si>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</si>
  <si>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</si>
  <si>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</si>
  <si>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</si>
  <si>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</si>
  <si>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August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</si>
  <si>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</si>
  <si>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</si>
  <si>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</si>
  <si>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</si>
  <si>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</si>
  <si>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</si>
  <si>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</si>
  <si>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</si>
  <si>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</si>
  <si>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</si>
  <si>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</si>
  <si>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</si>
  <si>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</si>
  <si>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</si>
  <si>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</si>
  <si>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</si>
  <si>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</si>
  <si>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</si>
  <si>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</si>
  <si>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</si>
  <si>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</si>
  <si>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2025-08-23</t>
  </si>
  <si>
    <t xml:space="preserve">2025-08-24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</si>
  <si>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</si>
  <si>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</si>
  <si>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</si>
  <si>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</si>
  <si>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</si>
  <si>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2025-08-30</t>
  </si>
  <si>
    <t xml:space="preserve">2025-08-31</t>
  </si>
  <si>
    <t xml:space="preserve">2025-09-01</t>
  </si>
  <si>
    <t xml:space="preserve">September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</si>
  <si>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</si>
  <si>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</si>
  <si>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</si>
  <si>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</si>
  <si>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2025-09-06</t>
  </si>
  <si>
    <t xml:space="preserve">2025-09-07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</si>
  <si>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</si>
  <si>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</si>
  <si>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</si>
  <si>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</si>
  <si>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</si>
  <si>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2025-09-13</t>
  </si>
  <si>
    <t xml:space="preserve">2025-09-14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</si>
  <si>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</si>
  <si>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</si>
  <si>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</si>
  <si>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</si>
  <si>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</si>
  <si>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2025-09-20</t>
  </si>
  <si>
    <t xml:space="preserve">2025-09-21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</si>
  <si>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</si>
  <si>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</si>
  <si>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</si>
  <si>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</si>
  <si>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</si>
  <si>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2025-09-27</t>
  </si>
  <si>
    <t xml:space="preserve">2025-09-28</t>
  </si>
  <si>
    <t xml:space="preserve">2025-09-29</t>
  </si>
  <si>
    <t xml:space="preserve">2025-09-30</t>
  </si>
  <si>
    <t xml:space="preserve">2025-10-01</t>
  </si>
  <si>
    <t xml:space="preserve">October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</si>
  <si>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</si>
  <si>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</si>
  <si>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</si>
  <si>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</si>
  <si>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</si>
  <si>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</si>
  <si>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</si>
  <si>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</si>
  <si>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</si>
  <si>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2025-10-11</t>
  </si>
  <si>
    <t xml:space="preserve">2025-10-12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</si>
  <si>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</si>
  <si>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</si>
  <si>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</si>
  <si>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</si>
  <si>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</si>
  <si>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</si>
  <si>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</si>
  <si>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</si>
  <si>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</si>
  <si>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</si>
  <si>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</si>
  <si>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</si>
  <si>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</si>
  <si>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</si>
  <si>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</si>
  <si>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</si>
  <si>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</si>
  <si>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</si>
  <si>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</si>
  <si>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2025-11-01</t>
  </si>
  <si>
    <t xml:space="preserve">November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</si>
  <si>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</si>
  <si>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</si>
  <si>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</si>
  <si>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</si>
  <si>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</si>
  <si>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</si>
  <si>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</si>
  <si>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</si>
  <si>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</si>
  <si>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</si>
  <si>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</si>
  <si>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</si>
  <si>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</si>
  <si>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</si>
  <si>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</si>
  <si>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</si>
  <si>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</si>
  <si>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</si>
  <si>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</si>
  <si>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</si>
  <si>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</si>
  <si>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</si>
  <si>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</si>
  <si>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</si>
  <si>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</si>
  <si>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</si>
  <si>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</si>
  <si>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</si>
  <si>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</si>
  <si>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2025-12-01</t>
  </si>
  <si>
    <t xml:space="preserve">December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</si>
  <si>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</si>
  <si>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</si>
  <si>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</si>
  <si>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</si>
  <si>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</si>
  <si>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</si>
  <si>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</si>
  <si>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</si>
  <si>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</si>
  <si>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</si>
  <si>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</si>
  <si>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</si>
  <si>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</si>
  <si>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</si>
  <si>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</si>
  <si>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</si>
  <si>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</si>
  <si>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</si>
  <si>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</si>
  <si>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</si>
  <si>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</si>
  <si>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</si>
  <si>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</si>
  <si>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</si>
  <si>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</si>
  <si>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</si>
  <si>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</si>
  <si>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</si>
  <si>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</si>
  <si>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</si>
  <si>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Occupancy</t>
  </si>
  <si>
    <t xml:space="preserve">ADR</t>
  </si>
  <si>
    <t xml:space="preserve">RevPAR</t>
  </si>
  <si>
    <t xml:space="preserve">Monthly Revenue-Management KPIs</t>
  </si>
  <si>
    <t xml:space="preserve">Month</t>
  </si>
  <si>
    <t xml:space="preserve">RoomNightsSold</t>
  </si>
  <si>
    <t xml:space="preserve">RoomNightsAvailable</t>
  </si>
  <si>
    <t xml:space="preserve">Occupancy %</t>
  </si>
  <si>
    <t xml:space="preserve">ANNUAL TOTAL</t>
  </si>
  <si>
    <t xml:space="preserve">Weekly Revenue-Management KPIs</t>
  </si>
  <si>
    <t xml:space="preserve">Week #</t>
  </si>
  <si>
    <t xml:space="preserve">Days in Week</t>
  </si>
  <si>
    <t xml:space="preserve">Segment &amp; Channel Mix</t>
  </si>
  <si>
    <t xml:space="preserve">RoomNights</t>
  </si>
  <si>
    <t xml:space="preserve">Revenue</t>
  </si>
  <si>
    <t xml:space="preserve">% of Revenue</t>
  </si>
  <si>
    <t xml:space="preserve">% of RoomNights</t>
  </si>
  <si>
    <t xml:space="preserve">TOTAL</t>
  </si>
  <si>
    <t xml:space="preserve">Demand Pattern by Day of Week</t>
  </si>
  <si>
    <t xml:space="preserve">Day of Week</t>
  </si>
  <si>
    <t xml:space="preserve">Avg Occupancy %</t>
  </si>
  <si>
    <t xml:space="preserve">Avg ADR</t>
  </si>
  <si>
    <t xml:space="preserve">Avg RevPAR</t>
  </si>
  <si>
    <t xml:space="preserve">Competitive Set Positioning</t>
  </si>
  <si>
    <t xml:space="preserve">Competitor rows are illustrative estimates for demonstration only (shown in blue) - not real market data.</t>
  </si>
  <si>
    <t xml:space="preserve">Hotel</t>
  </si>
  <si>
    <t xml:space="preserve">Meridian City Hotel (Ours)</t>
  </si>
  <si>
    <t xml:space="preserve">Competitor A</t>
  </si>
  <si>
    <t xml:space="preserve">Competitor B</t>
  </si>
  <si>
    <t xml:space="preserve">Competitor C</t>
  </si>
  <si>
    <t xml:space="preserve">Comp Set Average</t>
  </si>
  <si>
    <t xml:space="preserve">Index vs. Comp Set</t>
  </si>
  <si>
    <t xml:space="preserve">Index</t>
  </si>
  <si>
    <t xml:space="preserve">MPI (Market Penetration Index)</t>
  </si>
  <si>
    <t xml:space="preserve">ARI (Average Rate Index)</t>
  </si>
  <si>
    <t xml:space="preserve">RGI (Revenue Generation Index)</t>
  </si>
  <si>
    <t xml:space="preserve">StayMonth</t>
  </si>
  <si>
    <t xml:space="preserve">LeadDays</t>
  </si>
  <si>
    <t xml:space="preserve">RoomsBooked</t>
  </si>
  <si>
    <t xml:space="preserve">Booking Pace / Pickup Report</t>
  </si>
  <si>
    <t xml:space="preserve">Cumulative room nights on the books at each lead-time checkpoint, as a % of total room nights available that month. October (strong season) vs December (soft season) — both post-summer months, useful pace comparison.</t>
  </si>
  <si>
    <t xml:space="preserve">Days Before Arrival</t>
  </si>
  <si>
    <t xml:space="preserve">October — RoomNights</t>
  </si>
  <si>
    <t xml:space="preserve">October — Pickup %</t>
  </si>
  <si>
    <t xml:space="preserve">December — RoomNights</t>
  </si>
  <si>
    <t xml:space="preserve">December — Pickup %</t>
  </si>
  <si>
    <t xml:space="preserve">Reading this report</t>
  </si>
  <si>
    <t xml:space="preserve">At 30 days before arrival, December is running well behind October's pace at the same point — the gap that matters most, since it's still early enough to act on with a tactical push (see Recommendations).</t>
  </si>
  <si>
    <t xml:space="preserve">Group Business Displacement Analysis</t>
  </si>
  <si>
    <t xml:space="preserve">Evaluates each group request against the transient (non-group) demand it would displace on those dates, using the Demand_Pattern day-of-week averages. Yellow cells are the request inputs — edit to test other scenarios.</t>
  </si>
  <si>
    <t xml:space="preserve">Scenario</t>
  </si>
  <si>
    <t xml:space="preserve">Arrival Date</t>
  </si>
  <si>
    <t xml:space="preserve">Nights</t>
  </si>
  <si>
    <t xml:space="preserve">Rooms/Night Requested</t>
  </si>
  <si>
    <t xml:space="preserve">Proposed Group Rate</t>
  </si>
  <si>
    <t xml:space="preserve">Group Revenue</t>
  </si>
  <si>
    <t xml:space="preserve">Expected Transient Occ %</t>
  </si>
  <si>
    <t xml:space="preserve">Expected Transient Demand (rooms)</t>
  </si>
  <si>
    <t xml:space="preserve">Rooms Left for Transient</t>
  </si>
  <si>
    <t xml:space="preserve">Displaced Rooms/Night</t>
  </si>
  <si>
    <t xml:space="preserve">Total Displaced RoomNights</t>
  </si>
  <si>
    <t xml:space="preserve">Transient ADR</t>
  </si>
  <si>
    <t xml:space="preserve">Displaced Revenue</t>
  </si>
  <si>
    <t xml:space="preserve">Net Revenue Impact</t>
  </si>
  <si>
    <t xml:space="preserve">Recommendation</t>
  </si>
  <si>
    <t xml:space="preserve">Spring Conference</t>
  </si>
  <si>
    <t xml:space="preserve">Summer Wedding Block</t>
  </si>
  <si>
    <t xml:space="preserve">Autumn Trade Show</t>
  </si>
  <si>
    <t xml:space="preserve">January Corp Offsite</t>
  </si>
  <si>
    <t xml:space="preserve">Dec Holiday Party</t>
  </si>
  <si>
    <t xml:space="preserve">Forward Forecast — Q1 2026</t>
  </si>
  <si>
    <t xml:space="preserve">Simple YoY-growth forecast off FY2025 actuals. Growth assumptions (yellow) are editable — a production forecast would weight recent Pickup_Report pace more heavily than a flat growth rate.</t>
  </si>
  <si>
    <t xml:space="preserve">Occupancy growth assumption (YoY)</t>
  </si>
  <si>
    <t xml:space="preserve">ADR growth assumption (YoY)</t>
  </si>
  <si>
    <t xml:space="preserve">Prior-Year Occ %</t>
  </si>
  <si>
    <t xml:space="preserve">Forecast Occ %</t>
  </si>
  <si>
    <t xml:space="preserve">Prior-Year ADR</t>
  </si>
  <si>
    <t xml:space="preserve">Forecast ADR</t>
  </si>
  <si>
    <t xml:space="preserve">Forecast RevPAR</t>
  </si>
  <si>
    <t xml:space="preserve">Forecast Room Revenue</t>
  </si>
  <si>
    <t xml:space="preserve">January 2026</t>
  </si>
  <si>
    <t xml:space="preserve">February 2026</t>
  </si>
  <si>
    <t xml:space="preserve">March 2026</t>
  </si>
  <si>
    <t xml:space="preserve">Meridian City Hotel — Revenue Dashboard (FY2025, synthetic)</t>
  </si>
  <si>
    <t xml:space="preserve">Annual Occupancy</t>
  </si>
  <si>
    <t xml:space="preserve">Annual ADR</t>
  </si>
  <si>
    <t xml:space="preserve">Annual RevPAR</t>
  </si>
  <si>
    <t xml:space="preserve">RGI vs Comp Set</t>
  </si>
  <si>
    <t xml:space="preserve">Findings &amp; Pricing Recommendations</t>
  </si>
  <si>
    <t xml:space="preserve">Based on the FY2025 synthetic dataset. Figures match the linked KPI, Segment, CompSet, Pickup and Group_Displacement tabs.</t>
  </si>
  <si>
    <t xml:space="preserve">1. Close the weekend occupancy gap</t>
  </si>
  <si>
    <t xml:space="preserve">Weekday occupancy averages ~55%, but Saturday and Sunday sit closer to 40% — a c.15-point gap driven by the corporate segment's near-total absence at weekends. Recommend a dedicated weekend leisure package (rate-inclusive extras: parking, breakfast, spa credit) marketed directly and via OTA to target this specific gap, rather than a blanket rate cut.</t>
  </si>
  <si>
    <t xml:space="preserve">2. Manage OTA mix rather than eliminate it</t>
  </si>
  <si>
    <t xml:space="preserve">OTA carries the lowest ADR of the four segments (~£88 vs. a ~£105 hotel-wide average) and delivers a disproportionately larger share of room nights (20%) than revenue (17%). Recommend capping OTA allocation during high-demand weekday periods via rate parity and availability controls, while keeping it open as the primary weekend-fill channel identified in point 1.</t>
  </si>
  <si>
    <t xml:space="preserve">3. Protect Corporate rate integrity</t>
  </si>
  <si>
    <t xml:space="preserve">Corporate is the highest-value segment — 46% of room nights but 51% of revenue, and the highest ADR of any segment (~£118). This is the segment most exposed to margin erosion from over-discounting during high-demand periods (Sept-Nov). Recommend a rate floor for negotiated corporate accounts during peak conference months.</t>
  </si>
  <si>
    <t xml:space="preserve">4. December is pacing behind October at the same lead time — act now, not in December</t>
  </si>
  <si>
    <t xml:space="preserve">The Pickup_Report shows December running visibly behind October's pace at every checkpoint (e.g. 30 days out: October at ~20% of rooms on the books vs December at ~16%). Both are measured at the same lead time, so this is a genuine pace gap, not just December being a shorter look-back. With 30+ days still on the clock, recommend triggering a December tactical rate/package promotion now, while there's still enough lead time for it to move the outcome — waiting until December's occupancy has already printed low is too late to fix it.</t>
  </si>
  <si>
    <t xml:space="preserve">5. Push back on the Autumn Trade Show group rate as quoted</t>
  </si>
  <si>
    <t xml:space="preserve">The Group_Displacement analysis flags one of five live group scenarios as value-destructive as quoted: the Autumn Trade Show wants 270 of 300 rooms for 4 nights at £50 — a c.55% discount to standard ADR during the single highest-demand week of the year. At that rate and block size, the group would displace an estimated 540 room-nights of transient business worth more than the group itself, for a net impact of roughly -£4,000. Recommend countering at a higher rate or a smaller room block rather than declining outright — the volume has real value, just not at the rate quoted. The other four group scenarios modelled are net-positive as-is and can be accepted.</t>
  </si>
  <si>
    <t xml:space="preserve">6. Track RGI, not just RevPAR, against the comp set</t>
  </si>
  <si>
    <t xml:space="preserve">RevPAR alone doesn't say whether a rate gap is a pricing problem or a demand problem. Splitting into MPI (occupancy share) and ARI (rate share) against the comp set shows where any RGI shortfall is actually coming from — worth building into the monthly reporting cycle rather than reviewing RevPAR in isolation.</t>
  </si>
  <si>
    <t xml:space="preserve">7. Treat the Q1 2026 forecast as a starting point, not a plan</t>
  </si>
  <si>
    <t xml:space="preserve">The Forecast tab projects Q1 2026 RevPAR by applying flat YoY growth assumptions (2% occupancy, 3% ADR) to FY2025 actuals — useful for an early budget baseline, but it doesn't yet reflect actual pickup on the books. Recommend re-running the forecast against real January/February pace once it's available, using the same lead-time logic as the Pickup_Report, rather than relying on the YoY assumption past the point where real booking data exists.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</si>
</sst>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\£#,##0.00"/>
    <numFmt numFmtId="167" formatCode="\£#,##0"/>
    <numFmt numFmtId="168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1F8"/>
        <bgColor rgb="FFFFFFFF"/>
      </patternFill>
    </fill>
    <fill>
      <patternFill patternType="solid">
        <fgColor rgb="FFFFF2CC"/>
        <bgColor rgb="FFEAF1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AA433F"/>
      <rgbColor rgb="FFFFF2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CC8F8E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RevPAR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KPI_Summary!G3</c:f>
              <c:strCache>
                <c:ptCount val="1"/>
                <c:pt idx="0">
                  <c:v>RevPAR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KPI_Summary!$A$4:$A$15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KPI_Summary!$G$4:$G$15</c:f>
              <c:numCache>
                <c:formatCode>\£#,##0.00</c:formatCode>
                <c:ptCount val="12"/>
                <c:pt idx="0">
                  <c:v>37.3139021505376</c:v>
                </c:pt>
                <c:pt idx="1">
                  <c:v>45.7286523809524</c:v>
                </c:pt>
                <c:pt idx="2">
                  <c:v>56.8160096774194</c:v>
                </c:pt>
                <c:pt idx="3">
                  <c:v>57.9179411111111</c:v>
                </c:pt>
                <c:pt idx="4">
                  <c:v>61.3659279569892</c:v>
                </c:pt>
                <c:pt idx="5">
                  <c:v>62.3529711111111</c:v>
                </c:pt>
                <c:pt idx="6">
                  <c:v>53.8689795698925</c:v>
                </c:pt>
                <c:pt idx="7">
                  <c:v>33.6782935483871</c:v>
                </c:pt>
                <c:pt idx="8">
                  <c:v>64.5981788888889</c:v>
                </c:pt>
                <c:pt idx="9">
                  <c:v>65.9160548387097</c:v>
                </c:pt>
                <c:pt idx="10">
                  <c:v>59.92669</c:v>
                </c:pt>
                <c:pt idx="11">
                  <c:v>47.7702215053763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730786"/>
        <c:axId val="41218831"/>
      </c:lineChart>
      <c:catAx>
        <c:axId val="667307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18831"/>
        <c:crosses val="autoZero"/>
        <c:auto val="1"/>
        <c:lblAlgn val="ctr"/>
        <c:lblOffset val="100"/>
        <c:noMultiLvlLbl val="0"/>
      </c:catAx>
      <c:valAx>
        <c:axId val="41218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RevPAR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307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Segment_Analysis!D3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Segment_Analysis!$A$4:$A$7</c:f>
              <c:strCache>
                <c:ptCount val="4"/>
                <c:pt idx="0">
                  <c:v>Corporate</c:v>
                </c:pt>
                <c:pt idx="1">
                  <c:v>Leisure</c:v>
                </c:pt>
                <c:pt idx="2">
                  <c:v>Group</c:v>
                </c:pt>
                <c:pt idx="3">
                  <c:v>OTA</c:v>
                </c:pt>
              </c:strCache>
            </c:strRef>
          </c:cat>
          <c:val>
            <c:numRef>
              <c:f>Segment_Analysis!$D$4:$D$7</c:f>
              <c:numCache>
                <c:formatCode>\£#,##0</c:formatCode>
                <c:ptCount val="4"/>
                <c:pt idx="0">
                  <c:v>3007127.95</c:v>
                </c:pt>
                <c:pt idx="1">
                  <c:v>1084879.61</c:v>
                </c:pt>
                <c:pt idx="2">
                  <c:v>813459.17</c:v>
                </c:pt>
                <c:pt idx="3">
                  <c:v>999399.3</c:v>
                </c:pt>
              </c:numCache>
            </c:numRef>
          </c:val>
        </c:ser>
        <c:gapWidth val="150"/>
        <c:overlap val="0"/>
        <c:axId val="35046686"/>
        <c:axId val="30930187"/>
      </c:barChart>
      <c:catAx>
        <c:axId val="350466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930187"/>
        <c:crosses val="autoZero"/>
        <c:auto val="1"/>
        <c:lblAlgn val="ctr"/>
        <c:lblOffset val="100"/>
        <c:noMultiLvlLbl val="0"/>
      </c:catAx>
      <c:valAx>
        <c:axId val="309301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0466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Occupancy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Demand_Pattern!B3</c:f>
              <c:strCache>
                <c:ptCount val="1"/>
                <c:pt idx="0">
                  <c:v>Avg Occupancy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Demand_Pattern!$A$4:$A$10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Demand_Pattern!$B$4:$B$10</c:f>
              <c:numCache>
                <c:formatCode>0.0%</c:formatCode>
                <c:ptCount val="7"/>
                <c:pt idx="0">
                  <c:v>0.551730769230769</c:v>
                </c:pt>
                <c:pt idx="1">
                  <c:v>0.556602564102564</c:v>
                </c:pt>
                <c:pt idx="2">
                  <c:v>0.551069182389937</c:v>
                </c:pt>
                <c:pt idx="3">
                  <c:v>0.554230769230769</c:v>
                </c:pt>
                <c:pt idx="4">
                  <c:v>0.549551282051282</c:v>
                </c:pt>
                <c:pt idx="5">
                  <c:v>0.399679487179487</c:v>
                </c:pt>
                <c:pt idx="6">
                  <c:v>0.405576923076923</c:v>
                </c:pt>
              </c:numCache>
            </c:numRef>
          </c:val>
        </c:ser>
        <c:gapWidth val="150"/>
        <c:overlap val="0"/>
        <c:axId val="74639456"/>
        <c:axId val="19216867"/>
      </c:barChart>
      <c:catAx>
        <c:axId val="74639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216867"/>
        <c:crosses val="autoZero"/>
        <c:auto val="1"/>
        <c:lblAlgn val="ctr"/>
        <c:lblOffset val="100"/>
        <c:noMultiLvlLbl val="0"/>
      </c:catAx>
      <c:valAx>
        <c:axId val="192168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Occupancy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394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Index vs Comp Set (100 = parity)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CompSet!B11</c:f>
              <c:strCache>
                <c:ptCount val="1"/>
                <c:pt idx="0">
                  <c:v>Index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CompSet!$A$12:$A$14</c:f>
              <c:strCache>
                <c:ptCount val="3"/>
                <c:pt idx="0">
                  <c:v>MPI (Market Penetration Index)</c:v>
                </c:pt>
                <c:pt idx="1">
                  <c:v>ARI (Average Rate Index)</c:v>
                </c:pt>
                <c:pt idx="2">
                  <c:v>RGI (Revenue Generation Index)</c:v>
                </c:pt>
              </c:strCache>
            </c:strRef>
          </c:cat>
          <c:val>
            <c:numRef>
              <c:f>CompSet!$B$12:$B$14</c:f>
              <c:numCache>
                <c:formatCode>0.0</c:formatCode>
                <c:ptCount val="3"/>
                <c:pt idx="0">
                  <c:v>97.993032215036</c:v>
                </c:pt>
                <c:pt idx="1">
                  <c:v>102.018738874652</c:v>
                </c:pt>
                <c:pt idx="2">
                  <c:v>99.7368446566357</c:v>
                </c:pt>
              </c:numCache>
            </c:numRef>
          </c:val>
        </c:ser>
        <c:gapWidth val="150"/>
        <c:overlap val="0"/>
        <c:axId val="83357375"/>
        <c:axId val="13924174"/>
      </c:barChart>
      <c:catAx>
        <c:axId val="833573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24174"/>
        <c:crosses val="autoZero"/>
        <c:auto val="1"/>
        <c:lblAlgn val="ctr"/>
        <c:lblOffset val="100"/>
        <c:noMultiLvlLbl val="0"/>
      </c:catAx>
      <c:valAx>
        <c:axId val="139241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573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Booking Pace: October vs December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Pickup_Report!C4</c:f>
              <c:strCache>
                <c:ptCount val="1"/>
                <c:pt idx="0">
                  <c:v>October — Pickup %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Pickup_Report!$A$5:$A$15</c:f>
              <c:strCache>
                <c:ptCount val="11"/>
                <c:pt idx="0">
                  <c:v>180</c:v>
                </c:pt>
                <c:pt idx="1">
                  <c:v>120</c:v>
                </c:pt>
                <c:pt idx="2">
                  <c:v>90</c:v>
                </c:pt>
                <c:pt idx="3">
                  <c:v>60</c:v>
                </c:pt>
                <c:pt idx="4">
                  <c:v>45</c:v>
                </c:pt>
                <c:pt idx="5">
                  <c:v>30</c:v>
                </c:pt>
                <c:pt idx="6">
                  <c:v>21</c:v>
                </c:pt>
                <c:pt idx="7">
                  <c:v>14</c:v>
                </c:pt>
                <c:pt idx="8">
                  <c:v>7</c:v>
                </c:pt>
                <c:pt idx="9">
                  <c:v>3</c:v>
                </c:pt>
                <c:pt idx="10">
                  <c:v>0</c:v>
                </c:pt>
              </c:strCache>
            </c:strRef>
          </c:cat>
          <c:val>
            <c:numRef>
              <c:f>Pickup_Report!$C$5:$C$15</c:f>
              <c:numCache>
                <c:formatCode>0.0%</c:formatCode>
                <c:ptCount val="11"/>
                <c:pt idx="0">
                  <c:v>0.018494623655914</c:v>
                </c:pt>
                <c:pt idx="1">
                  <c:v>0.0417204301075269</c:v>
                </c:pt>
                <c:pt idx="2">
                  <c:v>0.0808602150537634</c:v>
                </c:pt>
                <c:pt idx="3">
                  <c:v>0.126559139784946</c:v>
                </c:pt>
                <c:pt idx="4">
                  <c:v>0.153548387096774</c:v>
                </c:pt>
                <c:pt idx="5">
                  <c:v>0.197956989247312</c:v>
                </c:pt>
                <c:pt idx="6">
                  <c:v>0.237311827956989</c:v>
                </c:pt>
                <c:pt idx="7">
                  <c:v>0.321290322580645</c:v>
                </c:pt>
                <c:pt idx="8">
                  <c:v>0.419784946236559</c:v>
                </c:pt>
                <c:pt idx="9">
                  <c:v>0.518387096774194</c:v>
                </c:pt>
                <c:pt idx="10">
                  <c:v>0.595483870967742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Pickup_Report!E4</c:f>
              <c:strCache>
                <c:ptCount val="1"/>
                <c:pt idx="0">
                  <c:v>December — Pickup %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Pickup_Report!$A$5:$A$15</c:f>
              <c:strCache>
                <c:ptCount val="11"/>
                <c:pt idx="0">
                  <c:v>180</c:v>
                </c:pt>
                <c:pt idx="1">
                  <c:v>120</c:v>
                </c:pt>
                <c:pt idx="2">
                  <c:v>90</c:v>
                </c:pt>
                <c:pt idx="3">
                  <c:v>60</c:v>
                </c:pt>
                <c:pt idx="4">
                  <c:v>45</c:v>
                </c:pt>
                <c:pt idx="5">
                  <c:v>30</c:v>
                </c:pt>
                <c:pt idx="6">
                  <c:v>21</c:v>
                </c:pt>
                <c:pt idx="7">
                  <c:v>14</c:v>
                </c:pt>
                <c:pt idx="8">
                  <c:v>7</c:v>
                </c:pt>
                <c:pt idx="9">
                  <c:v>3</c:v>
                </c:pt>
                <c:pt idx="10">
                  <c:v>0</c:v>
                </c:pt>
              </c:strCache>
            </c:strRef>
          </c:cat>
          <c:val>
            <c:numRef>
              <c:f>Pickup_Report!$E$5:$E$15</c:f>
              <c:numCache>
                <c:formatCode>0.0%</c:formatCode>
                <c:ptCount val="11"/>
                <c:pt idx="0">
                  <c:v>0.0146236559139785</c:v>
                </c:pt>
                <c:pt idx="1">
                  <c:v>0.0327956989247312</c:v>
                </c:pt>
                <c:pt idx="2">
                  <c:v>0.0639784946236559</c:v>
                </c:pt>
                <c:pt idx="3">
                  <c:v>0.100645161290323</c:v>
                </c:pt>
                <c:pt idx="4">
                  <c:v>0.122043010752688</c:v>
                </c:pt>
                <c:pt idx="5">
                  <c:v>0.157096774193548</c:v>
                </c:pt>
                <c:pt idx="6">
                  <c:v>0.187956989247312</c:v>
                </c:pt>
                <c:pt idx="7">
                  <c:v>0.254086021505376</c:v>
                </c:pt>
                <c:pt idx="8">
                  <c:v>0.330430107526882</c:v>
                </c:pt>
                <c:pt idx="9">
                  <c:v>0.407741935483871</c:v>
                </c:pt>
                <c:pt idx="10">
                  <c:v>0.467849462365591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180982"/>
        <c:axId val="48880646"/>
      </c:lineChart>
      <c:catAx>
        <c:axId val="511809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 Before Arrival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880646"/>
        <c:crosses val="autoZero"/>
        <c:auto val="1"/>
        <c:lblAlgn val="ctr"/>
        <c:lblOffset val="100"/>
        <c:noMultiLvlLbl val="0"/>
      </c:catAx>
      <c:valAx>
        <c:axId val="488806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Pickup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809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Group Requests — Net Revenue Impact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Group_Displacement!O4</c:f>
              <c:strCache>
                <c:ptCount val="1"/>
                <c:pt idx="0">
                  <c:v>Net Revenue Impact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Group_Displacement!$A$5:$A$9</c:f>
              <c:strCache>
                <c:ptCount val="5"/>
                <c:pt idx="0">
                  <c:v>Spring Conference</c:v>
                </c:pt>
                <c:pt idx="1">
                  <c:v>Summer Wedding Block</c:v>
                </c:pt>
                <c:pt idx="2">
                  <c:v>Autumn Trade Show</c:v>
                </c:pt>
                <c:pt idx="3">
                  <c:v>January Corp Offsite</c:v>
                </c:pt>
                <c:pt idx="4">
                  <c:v>Dec Holiday Party</c:v>
                </c:pt>
              </c:strCache>
            </c:strRef>
          </c:cat>
          <c:val>
            <c:numRef>
              <c:f>Group_Displacement!$O$5:$O$9</c:f>
              <c:numCache>
                <c:formatCode>\£#,##0</c:formatCode>
                <c:ptCount val="5"/>
                <c:pt idx="0">
                  <c:v>33416.3769879055</c:v>
                </c:pt>
                <c:pt idx="1">
                  <c:v>6600</c:v>
                </c:pt>
                <c:pt idx="2">
                  <c:v>-4003.47614513407</c:v>
                </c:pt>
                <c:pt idx="3">
                  <c:v>14000</c:v>
                </c:pt>
                <c:pt idx="4">
                  <c:v>3000</c:v>
                </c:pt>
              </c:numCache>
            </c:numRef>
          </c:val>
        </c:ser>
        <c:gapWidth val="150"/>
        <c:overlap val="0"/>
        <c:axId val="32127633"/>
        <c:axId val="49571183"/>
      </c:barChart>
      <c:catAx>
        <c:axId val="321276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71183"/>
        <c:crosses val="autoZero"/>
        <c:auto val="1"/>
        <c:lblAlgn val="ctr"/>
        <c:lblOffset val="100"/>
        <c:noMultiLvlLbl val="0"/>
      </c:catAx>
      <c:valAx>
        <c:axId val="495711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Impact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276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10800</xdr:rowOff>
    </xdr:from>
    <xdr:to>
      <xdr:col>6</xdr:col>
      <xdr:colOff>817560</xdr:colOff>
      <xdr:row>21</xdr:row>
      <xdr:rowOff>32400</xdr:rowOff>
    </xdr:to>
    <xdr:graphicFrame>
      <xdr:nvGraphicFramePr>
        <xdr:cNvPr id="0" name="Chart 1"/>
        <xdr:cNvGraphicFramePr/>
      </xdr:nvGraphicFramePr>
      <xdr:xfrm>
        <a:off x="211320" y="132516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6</xdr:row>
      <xdr:rowOff>10800</xdr:rowOff>
    </xdr:from>
    <xdr:to>
      <xdr:col>15</xdr:col>
      <xdr:colOff>817920</xdr:colOff>
      <xdr:row>21</xdr:row>
      <xdr:rowOff>32400</xdr:rowOff>
    </xdr:to>
    <xdr:graphicFrame>
      <xdr:nvGraphicFramePr>
        <xdr:cNvPr id="1" name="Chart 2"/>
        <xdr:cNvGraphicFramePr/>
      </xdr:nvGraphicFramePr>
      <xdr:xfrm>
        <a:off x="8458200" y="132516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0</xdr:colOff>
      <xdr:row>6</xdr:row>
      <xdr:rowOff>10800</xdr:rowOff>
    </xdr:from>
    <xdr:to>
      <xdr:col>24</xdr:col>
      <xdr:colOff>817920</xdr:colOff>
      <xdr:row>21</xdr:row>
      <xdr:rowOff>32400</xdr:rowOff>
    </xdr:to>
    <xdr:graphicFrame>
      <xdr:nvGraphicFramePr>
        <xdr:cNvPr id="2" name="Chart 3"/>
        <xdr:cNvGraphicFramePr/>
      </xdr:nvGraphicFramePr>
      <xdr:xfrm>
        <a:off x="16705080" y="132516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21</xdr:row>
      <xdr:rowOff>10800</xdr:rowOff>
    </xdr:from>
    <xdr:to>
      <xdr:col>6</xdr:col>
      <xdr:colOff>817560</xdr:colOff>
      <xdr:row>36</xdr:row>
      <xdr:rowOff>32760</xdr:rowOff>
    </xdr:to>
    <xdr:graphicFrame>
      <xdr:nvGraphicFramePr>
        <xdr:cNvPr id="3" name="Chart 4"/>
        <xdr:cNvGraphicFramePr/>
      </xdr:nvGraphicFramePr>
      <xdr:xfrm>
        <a:off x="211320" y="418284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21</xdr:row>
      <xdr:rowOff>10800</xdr:rowOff>
    </xdr:from>
    <xdr:to>
      <xdr:col>15</xdr:col>
      <xdr:colOff>817920</xdr:colOff>
      <xdr:row>36</xdr:row>
      <xdr:rowOff>32760</xdr:rowOff>
    </xdr:to>
    <xdr:graphicFrame>
      <xdr:nvGraphicFramePr>
        <xdr:cNvPr id="4" name="Chart 5"/>
        <xdr:cNvGraphicFramePr/>
      </xdr:nvGraphicFramePr>
      <xdr:xfrm>
        <a:off x="8458200" y="418284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0</xdr:colOff>
      <xdr:row>21</xdr:row>
      <xdr:rowOff>10800</xdr:rowOff>
    </xdr:from>
    <xdr:to>
      <xdr:col>24</xdr:col>
      <xdr:colOff>817920</xdr:colOff>
      <xdr:row>36</xdr:row>
      <xdr:rowOff>32760</xdr:rowOff>
    </xdr:to>
    <xdr:graphicFrame>
      <xdr:nvGraphicFramePr>
        <xdr:cNvPr id="5" name="Chart 6"/>
        <xdr:cNvGraphicFramePr/>
      </xdr:nvGraphicFramePr>
      <xdr:xfrm>
        <a:off x="16705080" y="418284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72"/>
    <col collapsed="false" customWidth="true" hidden="false" outlineLevel="0" max="8" min="4" style="1" width="10"/>
  </cols>
  <sheetData>
    <row r="2" customFormat="false" ht="19.5" hidden="false" customHeight="true" outlineLevel="0" collapsed="false">
      <c r="B2" s="2" t="s">
        <v>0</v>
      </c>
    </row>
    <row r="3" customFormat="false" ht="30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48" hidden="false" customHeight="true" outlineLevel="0" collapsed="false">
      <c r="B5" s="4" t="s">
        <v>2</v>
      </c>
      <c r="C5" s="5" t="s">
        <v>3</v>
      </c>
      <c r="D5" s="5"/>
      <c r="E5" s="5"/>
      <c r="F5" s="5"/>
      <c r="G5" s="5"/>
      <c r="H5" s="5"/>
    </row>
    <row r="6" customFormat="false" ht="48" hidden="false" customHeight="true" outlineLevel="0" collapsed="false">
      <c r="B6" s="4" t="s">
        <v>4</v>
      </c>
      <c r="C6" s="5" t="s">
        <v>5</v>
      </c>
      <c r="D6" s="5"/>
      <c r="E6" s="5"/>
      <c r="F6" s="5"/>
      <c r="G6" s="5"/>
      <c r="H6" s="5"/>
    </row>
    <row r="7" customFormat="false" ht="48" hidden="false" customHeight="true" outlineLevel="0" collapsed="false">
      <c r="B7" s="4" t="s">
        <v>6</v>
      </c>
      <c r="C7" s="5" t="s">
        <v>7</v>
      </c>
      <c r="D7" s="5"/>
      <c r="E7" s="5"/>
      <c r="F7" s="5"/>
      <c r="G7" s="5"/>
      <c r="H7" s="5"/>
    </row>
    <row r="8" customFormat="false" ht="48" hidden="false" customHeight="true" outlineLevel="0" collapsed="false">
      <c r="B8" s="4" t="s">
        <v>8</v>
      </c>
      <c r="C8" s="5" t="s">
        <v>9</v>
      </c>
      <c r="D8" s="5"/>
      <c r="E8" s="5"/>
      <c r="F8" s="5"/>
      <c r="G8" s="5"/>
      <c r="H8" s="5"/>
    </row>
    <row r="9" customFormat="false" ht="48" hidden="false" customHeight="true" outlineLevel="0" collapsed="false">
      <c r="B9" s="4" t="s">
        <v>10</v>
      </c>
      <c r="C9" s="5" t="s">
        <v>11</v>
      </c>
      <c r="D9" s="5"/>
      <c r="E9" s="5"/>
      <c r="F9" s="5"/>
      <c r="G9" s="5"/>
      <c r="H9" s="5"/>
    </row>
    <row r="10" customFormat="false" ht="48" hidden="false" customHeight="true" outlineLevel="0" collapsed="false">
      <c r="B10" s="4" t="s">
        <v>12</v>
      </c>
      <c r="C10" s="5" t="s">
        <v>13</v>
      </c>
      <c r="D10" s="5"/>
      <c r="E10" s="5"/>
      <c r="F10" s="5"/>
      <c r="G10" s="5"/>
      <c r="H10" s="5"/>
    </row>
    <row r="11" customFormat="false" ht="48" hidden="false" customHeight="true" outlineLevel="0" collapsed="false">
      <c r="B11" s="4" t="s">
        <v>14</v>
      </c>
      <c r="C11" s="5" t="s">
        <v>15</v>
      </c>
      <c r="D11" s="5"/>
      <c r="E11" s="5"/>
      <c r="F11" s="5"/>
      <c r="G11" s="5"/>
      <c r="H11" s="5"/>
    </row>
    <row r="13" customFormat="false" ht="15" hidden="false" customHeight="true" outlineLevel="0" collapsed="false">
      <c r="B13" s="4" t="s">
        <v>16</v>
      </c>
    </row>
    <row r="14" customFormat="false" ht="15" hidden="false" customHeight="true" outlineLevel="0" collapsed="false">
      <c r="C14" s="1" t="s">
        <v>17</v>
      </c>
    </row>
    <row r="15" customFormat="false" ht="15" hidden="false" customHeight="true" outlineLevel="0" collapsed="false">
      <c r="C15" s="1" t="s">
        <v>18</v>
      </c>
    </row>
    <row r="16" customFormat="false" ht="15" hidden="false" customHeight="true" outlineLevel="0" collapsed="false">
      <c r="C16" s="1" t="s">
        <v>19</v>
      </c>
    </row>
    <row r="17" customFormat="false" ht="15" hidden="false" customHeight="true" outlineLevel="0" collapsed="false">
      <c r="C17" s="1" t="s">
        <v>20</v>
      </c>
    </row>
    <row r="18" customFormat="false" ht="15" hidden="false" customHeight="true" outlineLevel="0" collapsed="false">
      <c r="C18" s="1" t="s">
        <v>21</v>
      </c>
    </row>
    <row r="19" customFormat="false" ht="15" hidden="false" customHeight="true" outlineLevel="0" collapsed="false">
      <c r="C19" s="1" t="s">
        <v>22</v>
      </c>
    </row>
    <row r="20" customFormat="false" ht="15" hidden="false" customHeight="true" outlineLevel="0" collapsed="false">
      <c r="C20" s="1" t="s">
        <v>23</v>
      </c>
    </row>
    <row r="21" customFormat="false" ht="15" hidden="false" customHeight="true" outlineLevel="0" collapsed="false">
      <c r="C21" s="1" t="s">
        <v>24</v>
      </c>
    </row>
    <row r="22" customFormat="false" ht="15" hidden="false" customHeight="true" outlineLevel="0" collapsed="false">
      <c r="C22" s="1" t="s">
        <v>25</v>
      </c>
    </row>
    <row r="23" customFormat="false" ht="15" hidden="false" customHeight="true" outlineLevel="0" collapsed="false">
      <c r="C23" s="1" t="s">
        <v>26</v>
      </c>
    </row>
    <row r="24" customFormat="false" ht="15" hidden="false" customHeight="true" outlineLevel="0" collapsed="false">
      <c r="C24" s="1" t="s">
        <v>27</v>
      </c>
    </row>
    <row r="25" customFormat="false" ht="15" hidden="false" customHeight="true" outlineLevel="0" collapsed="false">
      <c r="C25" s="1" t="s">
        <v>28</v>
      </c>
    </row>
    <row r="26" customFormat="false" ht="15" hidden="false" customHeight="true" outlineLevel="0" collapsed="false">
      <c r="C26" s="1" t="s">
        <v>29</v>
      </c>
    </row>
  </sheetData>
  <mergeCells count="8">
    <mergeCell ref="B3:H3"/>
    <mergeCell ref="C5:H5"/>
    <mergeCell ref="C6:H6"/>
    <mergeCell ref="C7:H7"/>
    <mergeCell ref="C8:H8"/>
    <mergeCell ref="C9:H9"/>
    <mergeCell ref="C10:H10"/>
    <mergeCell ref="C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11"/>
    <col collapsed="false" customWidth="true" hidden="false" outlineLevel="0" max="9" min="9" style="1" width="13"/>
    <col collapsed="false" customWidth="true" hidden="false" outlineLevel="0" max="10" min="10" style="1" width="14"/>
  </cols>
  <sheetData>
    <row r="1" customFormat="false" ht="26.25" hidden="false" customHeight="true" outlineLevel="0" collapsed="false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</row>
    <row r="2" customFormat="false" ht="15" hidden="false" customHeight="true" outlineLevel="0" collapsed="false">
      <c r="A2" s="1" t="s">
        <v>40</v>
      </c>
      <c r="B2" s="1" t="s">
        <v>41</v>
      </c>
      <c r="C2" s="1" t="s">
        <v>42</v>
      </c>
      <c r="D2" s="1" t="n">
        <v>1</v>
      </c>
      <c r="E2" s="1" t="n">
        <v>1</v>
      </c>
      <c r="F2" s="1" t="s">
        <v>43</v>
      </c>
      <c r="G2" s="1" t="s">
        <v>44</v>
      </c>
      <c r="H2" s="1" t="n">
        <v>71</v>
      </c>
      <c r="I2" s="1" t="n">
        <v>7528.84</v>
      </c>
      <c r="J2" s="1" t="n">
        <v>300</v>
      </c>
    </row>
    <row r="3" customFormat="false" ht="15" hidden="false" customHeight="true" outlineLevel="0" collapsed="false">
      <c r="A3" s="1" t="s">
        <v>40</v>
      </c>
      <c r="B3" s="1" t="s">
        <v>41</v>
      </c>
      <c r="C3" s="1" t="s">
        <v>42</v>
      </c>
      <c r="D3" s="1" t="n">
        <v>1</v>
      </c>
      <c r="E3" s="1" t="n">
        <v>1</v>
      </c>
      <c r="F3" s="1" t="s">
        <v>45</v>
      </c>
      <c r="G3" s="1" t="s">
        <v>46</v>
      </c>
      <c r="H3" s="1" t="n">
        <v>15</v>
      </c>
      <c r="I3" s="1" t="n">
        <v>1542.75</v>
      </c>
      <c r="J3" s="1" t="n">
        <v>300</v>
      </c>
    </row>
    <row r="4" customFormat="false" ht="15" hidden="false" customHeight="true" outlineLevel="0" collapsed="false">
      <c r="A4" s="1" t="s">
        <v>40</v>
      </c>
      <c r="B4" s="1" t="s">
        <v>41</v>
      </c>
      <c r="C4" s="1" t="s">
        <v>42</v>
      </c>
      <c r="D4" s="1" t="n">
        <v>1</v>
      </c>
      <c r="E4" s="1" t="n">
        <v>1</v>
      </c>
      <c r="F4" s="1" t="s">
        <v>47</v>
      </c>
      <c r="G4" s="1" t="s">
        <v>48</v>
      </c>
      <c r="H4" s="1" t="n">
        <v>20</v>
      </c>
      <c r="I4" s="1" t="n">
        <v>1715.4</v>
      </c>
      <c r="J4" s="1" t="n">
        <v>300</v>
      </c>
    </row>
    <row r="5" customFormat="false" ht="15" hidden="false" customHeight="true" outlineLevel="0" collapsed="false">
      <c r="A5" s="1" t="s">
        <v>40</v>
      </c>
      <c r="B5" s="1" t="s">
        <v>41</v>
      </c>
      <c r="C5" s="1" t="s">
        <v>42</v>
      </c>
      <c r="D5" s="1" t="n">
        <v>1</v>
      </c>
      <c r="E5" s="1" t="n">
        <v>1</v>
      </c>
      <c r="F5" s="1" t="s">
        <v>49</v>
      </c>
      <c r="G5" s="1" t="s">
        <v>49</v>
      </c>
      <c r="H5" s="1" t="n">
        <v>25</v>
      </c>
      <c r="I5" s="1" t="n">
        <v>2109</v>
      </c>
      <c r="J5" s="1" t="n">
        <v>300</v>
      </c>
    </row>
    <row r="6" customFormat="false" ht="15" hidden="false" customHeight="true" outlineLevel="0" collapsed="false">
      <c r="A6" s="1" t="s">
        <v>50</v>
      </c>
      <c r="B6" s="1" t="s">
        <v>51</v>
      </c>
      <c r="C6" s="1" t="s">
        <v>42</v>
      </c>
      <c r="D6" s="1" t="n">
        <v>1</v>
      </c>
      <c r="E6" s="1" t="n">
        <v>1</v>
      </c>
      <c r="F6" s="1" t="s">
        <v>43</v>
      </c>
      <c r="G6" s="1" t="s">
        <v>44</v>
      </c>
      <c r="H6" s="1" t="n">
        <v>66</v>
      </c>
      <c r="I6" s="1" t="n">
        <v>7287.06</v>
      </c>
      <c r="J6" s="1" t="n">
        <v>300</v>
      </c>
    </row>
    <row r="7" customFormat="false" ht="15" hidden="false" customHeight="true" outlineLevel="0" collapsed="false">
      <c r="A7" s="1" t="s">
        <v>50</v>
      </c>
      <c r="B7" s="1" t="s">
        <v>51</v>
      </c>
      <c r="C7" s="1" t="s">
        <v>42</v>
      </c>
      <c r="D7" s="1" t="n">
        <v>1</v>
      </c>
      <c r="E7" s="1" t="n">
        <v>1</v>
      </c>
      <c r="F7" s="1" t="s">
        <v>45</v>
      </c>
      <c r="G7" s="1" t="s">
        <v>46</v>
      </c>
      <c r="H7" s="1" t="n">
        <v>14</v>
      </c>
      <c r="I7" s="1" t="n">
        <v>1282.54</v>
      </c>
      <c r="J7" s="1" t="n">
        <v>300</v>
      </c>
    </row>
    <row r="8" customFormat="false" ht="15" hidden="false" customHeight="true" outlineLevel="0" collapsed="false">
      <c r="A8" s="1" t="s">
        <v>50</v>
      </c>
      <c r="B8" s="1" t="s">
        <v>51</v>
      </c>
      <c r="C8" s="1" t="s">
        <v>42</v>
      </c>
      <c r="D8" s="1" t="n">
        <v>1</v>
      </c>
      <c r="E8" s="1" t="n">
        <v>1</v>
      </c>
      <c r="F8" s="1" t="s">
        <v>47</v>
      </c>
      <c r="G8" s="1" t="s">
        <v>48</v>
      </c>
      <c r="H8" s="1" t="n">
        <v>21</v>
      </c>
      <c r="I8" s="1" t="n">
        <v>1617</v>
      </c>
      <c r="J8" s="1" t="n">
        <v>300</v>
      </c>
    </row>
    <row r="9" customFormat="false" ht="15" hidden="false" customHeight="true" outlineLevel="0" collapsed="false">
      <c r="A9" s="1" t="s">
        <v>50</v>
      </c>
      <c r="B9" s="1" t="s">
        <v>51</v>
      </c>
      <c r="C9" s="1" t="s">
        <v>42</v>
      </c>
      <c r="D9" s="1" t="n">
        <v>1</v>
      </c>
      <c r="E9" s="1" t="n">
        <v>1</v>
      </c>
      <c r="F9" s="1" t="s">
        <v>49</v>
      </c>
      <c r="G9" s="1" t="s">
        <v>49</v>
      </c>
      <c r="H9" s="1" t="n">
        <v>18</v>
      </c>
      <c r="I9" s="1" t="n">
        <v>1402.74</v>
      </c>
      <c r="J9" s="1" t="n">
        <v>300</v>
      </c>
    </row>
    <row r="10" customFormat="false" ht="15" hidden="false" customHeight="true" outlineLevel="0" collapsed="false">
      <c r="A10" s="1" t="s">
        <v>52</v>
      </c>
      <c r="B10" s="1" t="s">
        <v>53</v>
      </c>
      <c r="C10" s="1" t="s">
        <v>42</v>
      </c>
      <c r="D10" s="1" t="n">
        <v>1</v>
      </c>
      <c r="E10" s="1" t="n">
        <v>1</v>
      </c>
      <c r="F10" s="1" t="s">
        <v>43</v>
      </c>
      <c r="G10" s="1" t="s">
        <v>44</v>
      </c>
      <c r="H10" s="1" t="n">
        <v>62</v>
      </c>
      <c r="I10" s="1" t="n">
        <v>6754.28</v>
      </c>
      <c r="J10" s="1" t="n">
        <v>300</v>
      </c>
    </row>
    <row r="11" customFormat="false" ht="15" hidden="false" customHeight="true" outlineLevel="0" collapsed="false">
      <c r="A11" s="1" t="s">
        <v>52</v>
      </c>
      <c r="B11" s="1" t="s">
        <v>53</v>
      </c>
      <c r="C11" s="1" t="s">
        <v>42</v>
      </c>
      <c r="D11" s="1" t="n">
        <v>1</v>
      </c>
      <c r="E11" s="1" t="n">
        <v>1</v>
      </c>
      <c r="F11" s="1" t="s">
        <v>45</v>
      </c>
      <c r="G11" s="1" t="s">
        <v>46</v>
      </c>
      <c r="H11" s="1" t="n">
        <v>13</v>
      </c>
      <c r="I11" s="1" t="n">
        <v>1121.25</v>
      </c>
      <c r="J11" s="1" t="n">
        <v>300</v>
      </c>
    </row>
    <row r="12" customFormat="false" ht="15" hidden="false" customHeight="true" outlineLevel="0" collapsed="false">
      <c r="A12" s="1" t="s">
        <v>52</v>
      </c>
      <c r="B12" s="1" t="s">
        <v>53</v>
      </c>
      <c r="C12" s="1" t="s">
        <v>42</v>
      </c>
      <c r="D12" s="1" t="n">
        <v>1</v>
      </c>
      <c r="E12" s="1" t="n">
        <v>1</v>
      </c>
      <c r="F12" s="1" t="s">
        <v>47</v>
      </c>
      <c r="G12" s="1" t="s">
        <v>48</v>
      </c>
      <c r="H12" s="1" t="n">
        <v>23</v>
      </c>
      <c r="I12" s="1" t="n">
        <v>1973.63</v>
      </c>
      <c r="J12" s="1" t="n">
        <v>300</v>
      </c>
    </row>
    <row r="13" customFormat="false" ht="15" hidden="false" customHeight="true" outlineLevel="0" collapsed="false">
      <c r="A13" s="1" t="s">
        <v>52</v>
      </c>
      <c r="B13" s="1" t="s">
        <v>53</v>
      </c>
      <c r="C13" s="1" t="s">
        <v>42</v>
      </c>
      <c r="D13" s="1" t="n">
        <v>1</v>
      </c>
      <c r="E13" s="1" t="n">
        <v>1</v>
      </c>
      <c r="F13" s="1" t="s">
        <v>49</v>
      </c>
      <c r="G13" s="1" t="s">
        <v>49</v>
      </c>
      <c r="H13" s="1" t="n">
        <v>22</v>
      </c>
      <c r="I13" s="1" t="n">
        <v>1622.5</v>
      </c>
      <c r="J13" s="1" t="n">
        <v>300</v>
      </c>
    </row>
    <row r="14" customFormat="false" ht="15" hidden="false" customHeight="true" outlineLevel="0" collapsed="false">
      <c r="A14" s="1" t="s">
        <v>54</v>
      </c>
      <c r="B14" s="1" t="s">
        <v>55</v>
      </c>
      <c r="C14" s="1" t="s">
        <v>42</v>
      </c>
      <c r="D14" s="1" t="n">
        <v>1</v>
      </c>
      <c r="E14" s="1" t="n">
        <v>1</v>
      </c>
      <c r="F14" s="1" t="s">
        <v>43</v>
      </c>
      <c r="G14" s="1" t="s">
        <v>44</v>
      </c>
      <c r="H14" s="1" t="n">
        <v>12</v>
      </c>
      <c r="I14" s="1" t="n">
        <v>1291.68</v>
      </c>
      <c r="J14" s="1" t="n">
        <v>300</v>
      </c>
    </row>
    <row r="15" customFormat="false" ht="15" hidden="false" customHeight="true" outlineLevel="0" collapsed="false">
      <c r="A15" s="1" t="s">
        <v>54</v>
      </c>
      <c r="B15" s="1" t="s">
        <v>55</v>
      </c>
      <c r="C15" s="1" t="s">
        <v>42</v>
      </c>
      <c r="D15" s="1" t="n">
        <v>1</v>
      </c>
      <c r="E15" s="1" t="n">
        <v>1</v>
      </c>
      <c r="F15" s="1" t="s">
        <v>45</v>
      </c>
      <c r="G15" s="1" t="s">
        <v>46</v>
      </c>
      <c r="H15" s="1" t="n">
        <v>35</v>
      </c>
      <c r="I15" s="1" t="n">
        <v>3372.6</v>
      </c>
      <c r="J15" s="1" t="n">
        <v>300</v>
      </c>
    </row>
    <row r="16" customFormat="false" ht="15" hidden="false" customHeight="true" outlineLevel="0" collapsed="false">
      <c r="A16" s="1" t="s">
        <v>54</v>
      </c>
      <c r="B16" s="1" t="s">
        <v>55</v>
      </c>
      <c r="C16" s="1" t="s">
        <v>42</v>
      </c>
      <c r="D16" s="1" t="n">
        <v>1</v>
      </c>
      <c r="E16" s="1" t="n">
        <v>1</v>
      </c>
      <c r="F16" s="1" t="s">
        <v>47</v>
      </c>
      <c r="G16" s="1" t="s">
        <v>48</v>
      </c>
      <c r="H16" s="1" t="n">
        <v>10</v>
      </c>
      <c r="I16" s="1" t="n">
        <v>854.7</v>
      </c>
      <c r="J16" s="1" t="n">
        <v>300</v>
      </c>
    </row>
    <row r="17" customFormat="false" ht="15" hidden="false" customHeight="true" outlineLevel="0" collapsed="false">
      <c r="A17" s="1" t="s">
        <v>54</v>
      </c>
      <c r="B17" s="1" t="s">
        <v>55</v>
      </c>
      <c r="C17" s="1" t="s">
        <v>42</v>
      </c>
      <c r="D17" s="1" t="n">
        <v>1</v>
      </c>
      <c r="E17" s="1" t="n">
        <v>1</v>
      </c>
      <c r="F17" s="1" t="s">
        <v>49</v>
      </c>
      <c r="G17" s="1" t="s">
        <v>49</v>
      </c>
      <c r="H17" s="1" t="n">
        <v>26</v>
      </c>
      <c r="I17" s="1" t="n">
        <v>2329.86</v>
      </c>
      <c r="J17" s="1" t="n">
        <v>300</v>
      </c>
    </row>
    <row r="18" customFormat="false" ht="15" hidden="false" customHeight="true" outlineLevel="0" collapsed="false">
      <c r="A18" s="1" t="s">
        <v>56</v>
      </c>
      <c r="B18" s="1" t="s">
        <v>57</v>
      </c>
      <c r="C18" s="1" t="s">
        <v>42</v>
      </c>
      <c r="D18" s="1" t="n">
        <v>1</v>
      </c>
      <c r="E18" s="1" t="n">
        <v>1</v>
      </c>
      <c r="F18" s="1" t="s">
        <v>43</v>
      </c>
      <c r="G18" s="1" t="s">
        <v>44</v>
      </c>
      <c r="H18" s="1" t="n">
        <v>13</v>
      </c>
      <c r="I18" s="1" t="n">
        <v>1301.82</v>
      </c>
      <c r="J18" s="1" t="n">
        <v>300</v>
      </c>
    </row>
    <row r="19" customFormat="false" ht="15" hidden="false" customHeight="true" outlineLevel="0" collapsed="false">
      <c r="A19" s="1" t="s">
        <v>56</v>
      </c>
      <c r="B19" s="1" t="s">
        <v>57</v>
      </c>
      <c r="C19" s="1" t="s">
        <v>42</v>
      </c>
      <c r="D19" s="1" t="n">
        <v>1</v>
      </c>
      <c r="E19" s="1" t="n">
        <v>1</v>
      </c>
      <c r="F19" s="1" t="s">
        <v>45</v>
      </c>
      <c r="G19" s="1" t="s">
        <v>46</v>
      </c>
      <c r="H19" s="1" t="n">
        <v>43</v>
      </c>
      <c r="I19" s="1" t="n">
        <v>3755.62</v>
      </c>
      <c r="J19" s="1" t="n">
        <v>300</v>
      </c>
    </row>
    <row r="20" customFormat="false" ht="15" hidden="false" customHeight="true" outlineLevel="0" collapsed="false">
      <c r="A20" s="1" t="s">
        <v>56</v>
      </c>
      <c r="B20" s="1" t="s">
        <v>57</v>
      </c>
      <c r="C20" s="1" t="s">
        <v>42</v>
      </c>
      <c r="D20" s="1" t="n">
        <v>1</v>
      </c>
      <c r="E20" s="1" t="n">
        <v>1</v>
      </c>
      <c r="F20" s="1" t="s">
        <v>47</v>
      </c>
      <c r="G20" s="1" t="s">
        <v>48</v>
      </c>
      <c r="H20" s="1" t="n">
        <v>11</v>
      </c>
      <c r="I20" s="1" t="n">
        <v>844.36</v>
      </c>
      <c r="J20" s="1" t="n">
        <v>300</v>
      </c>
    </row>
    <row r="21" customFormat="false" ht="15" hidden="false" customHeight="true" outlineLevel="0" collapsed="false">
      <c r="A21" s="1" t="s">
        <v>56</v>
      </c>
      <c r="B21" s="1" t="s">
        <v>57</v>
      </c>
      <c r="C21" s="1" t="s">
        <v>42</v>
      </c>
      <c r="D21" s="1" t="n">
        <v>1</v>
      </c>
      <c r="E21" s="1" t="n">
        <v>1</v>
      </c>
      <c r="F21" s="1" t="s">
        <v>49</v>
      </c>
      <c r="G21" s="1" t="s">
        <v>49</v>
      </c>
      <c r="H21" s="1" t="n">
        <v>24</v>
      </c>
      <c r="I21" s="1" t="n">
        <v>1958.4</v>
      </c>
      <c r="J21" s="1" t="n">
        <v>300</v>
      </c>
    </row>
    <row r="22" customFormat="false" ht="15" hidden="false" customHeight="true" outlineLevel="0" collapsed="false">
      <c r="A22" s="1" t="s">
        <v>58</v>
      </c>
      <c r="B22" s="1" t="s">
        <v>59</v>
      </c>
      <c r="C22" s="1" t="s">
        <v>42</v>
      </c>
      <c r="D22" s="1" t="n">
        <v>1</v>
      </c>
      <c r="E22" s="1" t="n">
        <v>2</v>
      </c>
      <c r="F22" s="1" t="s">
        <v>43</v>
      </c>
      <c r="G22" s="1" t="s">
        <v>44</v>
      </c>
      <c r="H22" s="1" t="n">
        <v>73</v>
      </c>
      <c r="I22" s="1" t="n">
        <v>7886.19</v>
      </c>
      <c r="J22" s="1" t="n">
        <v>300</v>
      </c>
    </row>
    <row r="23" customFormat="false" ht="15" hidden="false" customHeight="true" outlineLevel="0" collapsed="false">
      <c r="A23" s="1" t="s">
        <v>58</v>
      </c>
      <c r="B23" s="1" t="s">
        <v>59</v>
      </c>
      <c r="C23" s="1" t="s">
        <v>42</v>
      </c>
      <c r="D23" s="1" t="n">
        <v>1</v>
      </c>
      <c r="E23" s="1" t="n">
        <v>2</v>
      </c>
      <c r="F23" s="1" t="s">
        <v>45</v>
      </c>
      <c r="G23" s="1" t="s">
        <v>46</v>
      </c>
      <c r="H23" s="1" t="n">
        <v>14</v>
      </c>
      <c r="I23" s="1" t="n">
        <v>1295.56</v>
      </c>
      <c r="J23" s="1" t="n">
        <v>300</v>
      </c>
    </row>
    <row r="24" customFormat="false" ht="15" hidden="false" customHeight="true" outlineLevel="0" collapsed="false">
      <c r="A24" s="1" t="s">
        <v>58</v>
      </c>
      <c r="B24" s="1" t="s">
        <v>59</v>
      </c>
      <c r="C24" s="1" t="s">
        <v>42</v>
      </c>
      <c r="D24" s="1" t="n">
        <v>1</v>
      </c>
      <c r="E24" s="1" t="n">
        <v>2</v>
      </c>
      <c r="F24" s="1" t="s">
        <v>47</v>
      </c>
      <c r="G24" s="1" t="s">
        <v>48</v>
      </c>
      <c r="H24" s="1" t="n">
        <v>17</v>
      </c>
      <c r="I24" s="1" t="n">
        <v>1414.91</v>
      </c>
      <c r="J24" s="1" t="n">
        <v>300</v>
      </c>
    </row>
    <row r="25" customFormat="false" ht="15" hidden="false" customHeight="true" outlineLevel="0" collapsed="false">
      <c r="A25" s="1" t="s">
        <v>58</v>
      </c>
      <c r="B25" s="1" t="s">
        <v>59</v>
      </c>
      <c r="C25" s="1" t="s">
        <v>42</v>
      </c>
      <c r="D25" s="1" t="n">
        <v>1</v>
      </c>
      <c r="E25" s="1" t="n">
        <v>2</v>
      </c>
      <c r="F25" s="1" t="s">
        <v>49</v>
      </c>
      <c r="G25" s="1" t="s">
        <v>49</v>
      </c>
      <c r="H25" s="1" t="n">
        <v>21</v>
      </c>
      <c r="I25" s="1" t="n">
        <v>1800.96</v>
      </c>
      <c r="J25" s="1" t="n">
        <v>300</v>
      </c>
    </row>
    <row r="26" customFormat="false" ht="15" hidden="false" customHeight="true" outlineLevel="0" collapsed="false">
      <c r="A26" s="1" t="s">
        <v>60</v>
      </c>
      <c r="B26" s="1" t="s">
        <v>61</v>
      </c>
      <c r="C26" s="1" t="s">
        <v>42</v>
      </c>
      <c r="D26" s="1" t="n">
        <v>1</v>
      </c>
      <c r="E26" s="1" t="n">
        <v>2</v>
      </c>
      <c r="F26" s="1" t="s">
        <v>43</v>
      </c>
      <c r="G26" s="1" t="s">
        <v>44</v>
      </c>
      <c r="H26" s="1" t="n">
        <v>71</v>
      </c>
      <c r="I26" s="1" t="n">
        <v>6788.31</v>
      </c>
      <c r="J26" s="1" t="n">
        <v>300</v>
      </c>
    </row>
    <row r="27" customFormat="false" ht="15" hidden="false" customHeight="true" outlineLevel="0" collapsed="false">
      <c r="A27" s="1" t="s">
        <v>60</v>
      </c>
      <c r="B27" s="1" t="s">
        <v>61</v>
      </c>
      <c r="C27" s="1" t="s">
        <v>42</v>
      </c>
      <c r="D27" s="1" t="n">
        <v>1</v>
      </c>
      <c r="E27" s="1" t="n">
        <v>2</v>
      </c>
      <c r="F27" s="1" t="s">
        <v>45</v>
      </c>
      <c r="G27" s="1" t="s">
        <v>46</v>
      </c>
      <c r="H27" s="1" t="n">
        <v>15</v>
      </c>
      <c r="I27" s="1" t="n">
        <v>1380.9</v>
      </c>
      <c r="J27" s="1" t="n">
        <v>300</v>
      </c>
    </row>
    <row r="28" customFormat="false" ht="15" hidden="false" customHeight="true" outlineLevel="0" collapsed="false">
      <c r="A28" s="1" t="s">
        <v>60</v>
      </c>
      <c r="B28" s="1" t="s">
        <v>61</v>
      </c>
      <c r="C28" s="1" t="s">
        <v>42</v>
      </c>
      <c r="D28" s="1" t="n">
        <v>1</v>
      </c>
      <c r="E28" s="1" t="n">
        <v>2</v>
      </c>
      <c r="F28" s="1" t="s">
        <v>47</v>
      </c>
      <c r="G28" s="1" t="s">
        <v>48</v>
      </c>
      <c r="H28" s="1" t="n">
        <v>19</v>
      </c>
      <c r="I28" s="1" t="n">
        <v>1713.42</v>
      </c>
      <c r="J28" s="1" t="n">
        <v>300</v>
      </c>
    </row>
    <row r="29" customFormat="false" ht="15" hidden="false" customHeight="true" outlineLevel="0" collapsed="false">
      <c r="A29" s="1" t="s">
        <v>60</v>
      </c>
      <c r="B29" s="1" t="s">
        <v>61</v>
      </c>
      <c r="C29" s="1" t="s">
        <v>42</v>
      </c>
      <c r="D29" s="1" t="n">
        <v>1</v>
      </c>
      <c r="E29" s="1" t="n">
        <v>2</v>
      </c>
      <c r="F29" s="1" t="s">
        <v>49</v>
      </c>
      <c r="G29" s="1" t="s">
        <v>49</v>
      </c>
      <c r="H29" s="1" t="n">
        <v>24</v>
      </c>
      <c r="I29" s="1" t="n">
        <v>2043.6</v>
      </c>
      <c r="J29" s="1" t="n">
        <v>300</v>
      </c>
    </row>
    <row r="30" customFormat="false" ht="15" hidden="false" customHeight="true" outlineLevel="0" collapsed="false">
      <c r="A30" s="1" t="s">
        <v>62</v>
      </c>
      <c r="B30" s="1" t="s">
        <v>41</v>
      </c>
      <c r="C30" s="1" t="s">
        <v>42</v>
      </c>
      <c r="D30" s="1" t="n">
        <v>1</v>
      </c>
      <c r="E30" s="1" t="n">
        <v>2</v>
      </c>
      <c r="F30" s="1" t="s">
        <v>43</v>
      </c>
      <c r="G30" s="1" t="s">
        <v>44</v>
      </c>
      <c r="H30" s="1" t="n">
        <v>63</v>
      </c>
      <c r="I30" s="1" t="n">
        <v>6611.22</v>
      </c>
      <c r="J30" s="1" t="n">
        <v>300</v>
      </c>
    </row>
    <row r="31" customFormat="false" ht="15" hidden="false" customHeight="true" outlineLevel="0" collapsed="false">
      <c r="A31" s="1" t="s">
        <v>62</v>
      </c>
      <c r="B31" s="1" t="s">
        <v>41</v>
      </c>
      <c r="C31" s="1" t="s">
        <v>42</v>
      </c>
      <c r="D31" s="1" t="n">
        <v>1</v>
      </c>
      <c r="E31" s="1" t="n">
        <v>2</v>
      </c>
      <c r="F31" s="1" t="s">
        <v>45</v>
      </c>
      <c r="G31" s="1" t="s">
        <v>46</v>
      </c>
      <c r="H31" s="1" t="n">
        <v>15</v>
      </c>
      <c r="I31" s="1" t="n">
        <v>1496.4</v>
      </c>
      <c r="J31" s="1" t="n">
        <v>300</v>
      </c>
    </row>
    <row r="32" customFormat="false" ht="15" hidden="false" customHeight="true" outlineLevel="0" collapsed="false">
      <c r="A32" s="1" t="s">
        <v>62</v>
      </c>
      <c r="B32" s="1" t="s">
        <v>41</v>
      </c>
      <c r="C32" s="1" t="s">
        <v>42</v>
      </c>
      <c r="D32" s="1" t="n">
        <v>1</v>
      </c>
      <c r="E32" s="1" t="n">
        <v>2</v>
      </c>
      <c r="F32" s="1" t="s">
        <v>47</v>
      </c>
      <c r="G32" s="1" t="s">
        <v>48</v>
      </c>
      <c r="H32" s="1" t="n">
        <v>19</v>
      </c>
      <c r="I32" s="1" t="n">
        <v>1634.38</v>
      </c>
      <c r="J32" s="1" t="n">
        <v>300</v>
      </c>
    </row>
    <row r="33" customFormat="false" ht="15" hidden="false" customHeight="true" outlineLevel="0" collapsed="false">
      <c r="A33" s="1" t="s">
        <v>62</v>
      </c>
      <c r="B33" s="1" t="s">
        <v>41</v>
      </c>
      <c r="C33" s="1" t="s">
        <v>42</v>
      </c>
      <c r="D33" s="1" t="n">
        <v>1</v>
      </c>
      <c r="E33" s="1" t="n">
        <v>2</v>
      </c>
      <c r="F33" s="1" t="s">
        <v>49</v>
      </c>
      <c r="G33" s="1" t="s">
        <v>49</v>
      </c>
      <c r="H33" s="1" t="n">
        <v>19</v>
      </c>
      <c r="I33" s="1" t="n">
        <v>1422.34</v>
      </c>
      <c r="J33" s="1" t="n">
        <v>300</v>
      </c>
    </row>
    <row r="34" customFormat="false" ht="15" hidden="false" customHeight="true" outlineLevel="0" collapsed="false">
      <c r="A34" s="1" t="s">
        <v>63</v>
      </c>
      <c r="B34" s="1" t="s">
        <v>51</v>
      </c>
      <c r="C34" s="1" t="s">
        <v>42</v>
      </c>
      <c r="D34" s="1" t="n">
        <v>1</v>
      </c>
      <c r="E34" s="1" t="n">
        <v>2</v>
      </c>
      <c r="F34" s="1" t="s">
        <v>43</v>
      </c>
      <c r="G34" s="1" t="s">
        <v>44</v>
      </c>
      <c r="H34" s="1" t="n">
        <v>73</v>
      </c>
      <c r="I34" s="1" t="n">
        <v>8440.99</v>
      </c>
      <c r="J34" s="1" t="n">
        <v>300</v>
      </c>
    </row>
    <row r="35" customFormat="false" ht="15" hidden="false" customHeight="true" outlineLevel="0" collapsed="false">
      <c r="A35" s="1" t="s">
        <v>63</v>
      </c>
      <c r="B35" s="1" t="s">
        <v>51</v>
      </c>
      <c r="C35" s="1" t="s">
        <v>42</v>
      </c>
      <c r="D35" s="1" t="n">
        <v>1</v>
      </c>
      <c r="E35" s="1" t="n">
        <v>2</v>
      </c>
      <c r="F35" s="1" t="s">
        <v>45</v>
      </c>
      <c r="G35" s="1" t="s">
        <v>46</v>
      </c>
      <c r="H35" s="1" t="n">
        <v>14</v>
      </c>
      <c r="I35" s="1" t="n">
        <v>1398.74</v>
      </c>
      <c r="J35" s="1" t="n">
        <v>300</v>
      </c>
    </row>
    <row r="36" customFormat="false" ht="15" hidden="false" customHeight="true" outlineLevel="0" collapsed="false">
      <c r="A36" s="1" t="s">
        <v>63</v>
      </c>
      <c r="B36" s="1" t="s">
        <v>51</v>
      </c>
      <c r="C36" s="1" t="s">
        <v>42</v>
      </c>
      <c r="D36" s="1" t="n">
        <v>1</v>
      </c>
      <c r="E36" s="1" t="n">
        <v>2</v>
      </c>
      <c r="F36" s="1" t="s">
        <v>47</v>
      </c>
      <c r="G36" s="1" t="s">
        <v>48</v>
      </c>
      <c r="H36" s="1" t="n">
        <v>21</v>
      </c>
      <c r="I36" s="1" t="n">
        <v>1756.02</v>
      </c>
      <c r="J36" s="1" t="n">
        <v>300</v>
      </c>
    </row>
    <row r="37" customFormat="false" ht="15" hidden="false" customHeight="true" outlineLevel="0" collapsed="false">
      <c r="A37" s="1" t="s">
        <v>63</v>
      </c>
      <c r="B37" s="1" t="s">
        <v>51</v>
      </c>
      <c r="C37" s="1" t="s">
        <v>42</v>
      </c>
      <c r="D37" s="1" t="n">
        <v>1</v>
      </c>
      <c r="E37" s="1" t="n">
        <v>2</v>
      </c>
      <c r="F37" s="1" t="s">
        <v>49</v>
      </c>
      <c r="G37" s="1" t="s">
        <v>49</v>
      </c>
      <c r="H37" s="1" t="n">
        <v>22</v>
      </c>
      <c r="I37" s="1" t="n">
        <v>1937.98</v>
      </c>
      <c r="J37" s="1" t="n">
        <v>300</v>
      </c>
    </row>
    <row r="38" customFormat="false" ht="15" hidden="false" customHeight="true" outlineLevel="0" collapsed="false">
      <c r="A38" s="1" t="s">
        <v>64</v>
      </c>
      <c r="B38" s="1" t="s">
        <v>53</v>
      </c>
      <c r="C38" s="1" t="s">
        <v>42</v>
      </c>
      <c r="D38" s="1" t="n">
        <v>1</v>
      </c>
      <c r="E38" s="1" t="n">
        <v>2</v>
      </c>
      <c r="F38" s="1" t="s">
        <v>43</v>
      </c>
      <c r="G38" s="1" t="s">
        <v>44</v>
      </c>
      <c r="H38" s="1" t="n">
        <v>68</v>
      </c>
      <c r="I38" s="1" t="n">
        <v>7953.28</v>
      </c>
      <c r="J38" s="1" t="n">
        <v>300</v>
      </c>
    </row>
    <row r="39" customFormat="false" ht="15" hidden="false" customHeight="true" outlineLevel="0" collapsed="false">
      <c r="A39" s="1" t="s">
        <v>64</v>
      </c>
      <c r="B39" s="1" t="s">
        <v>53</v>
      </c>
      <c r="C39" s="1" t="s">
        <v>42</v>
      </c>
      <c r="D39" s="1" t="n">
        <v>1</v>
      </c>
      <c r="E39" s="1" t="n">
        <v>2</v>
      </c>
      <c r="F39" s="1" t="s">
        <v>45</v>
      </c>
      <c r="G39" s="1" t="s">
        <v>46</v>
      </c>
      <c r="H39" s="1" t="n">
        <v>11</v>
      </c>
      <c r="I39" s="1" t="n">
        <v>1087.79</v>
      </c>
      <c r="J39" s="1" t="n">
        <v>300</v>
      </c>
    </row>
    <row r="40" customFormat="false" ht="15" hidden="false" customHeight="true" outlineLevel="0" collapsed="false">
      <c r="A40" s="1" t="s">
        <v>64</v>
      </c>
      <c r="B40" s="1" t="s">
        <v>53</v>
      </c>
      <c r="C40" s="1" t="s">
        <v>42</v>
      </c>
      <c r="D40" s="1" t="n">
        <v>1</v>
      </c>
      <c r="E40" s="1" t="n">
        <v>2</v>
      </c>
      <c r="F40" s="1" t="s">
        <v>47</v>
      </c>
      <c r="G40" s="1" t="s">
        <v>48</v>
      </c>
      <c r="H40" s="1" t="n">
        <v>20</v>
      </c>
      <c r="I40" s="1" t="n">
        <v>1708.6</v>
      </c>
      <c r="J40" s="1" t="n">
        <v>300</v>
      </c>
    </row>
    <row r="41" customFormat="false" ht="15" hidden="false" customHeight="true" outlineLevel="0" collapsed="false">
      <c r="A41" s="1" t="s">
        <v>64</v>
      </c>
      <c r="B41" s="1" t="s">
        <v>53</v>
      </c>
      <c r="C41" s="1" t="s">
        <v>42</v>
      </c>
      <c r="D41" s="1" t="n">
        <v>1</v>
      </c>
      <c r="E41" s="1" t="n">
        <v>2</v>
      </c>
      <c r="F41" s="1" t="s">
        <v>49</v>
      </c>
      <c r="G41" s="1" t="s">
        <v>49</v>
      </c>
      <c r="H41" s="1" t="n">
        <v>22</v>
      </c>
      <c r="I41" s="1" t="n">
        <v>1562.66</v>
      </c>
      <c r="J41" s="1" t="n">
        <v>300</v>
      </c>
    </row>
    <row r="42" customFormat="false" ht="15" hidden="false" customHeight="true" outlineLevel="0" collapsed="false">
      <c r="A42" s="1" t="s">
        <v>65</v>
      </c>
      <c r="B42" s="1" t="s">
        <v>55</v>
      </c>
      <c r="C42" s="1" t="s">
        <v>42</v>
      </c>
      <c r="D42" s="1" t="n">
        <v>1</v>
      </c>
      <c r="E42" s="1" t="n">
        <v>2</v>
      </c>
      <c r="F42" s="1" t="s">
        <v>43</v>
      </c>
      <c r="G42" s="1" t="s">
        <v>44</v>
      </c>
      <c r="H42" s="1" t="n">
        <v>13</v>
      </c>
      <c r="I42" s="1" t="n">
        <v>1419.86</v>
      </c>
      <c r="J42" s="1" t="n">
        <v>300</v>
      </c>
    </row>
    <row r="43" customFormat="false" ht="15" hidden="false" customHeight="true" outlineLevel="0" collapsed="false">
      <c r="A43" s="1" t="s">
        <v>65</v>
      </c>
      <c r="B43" s="1" t="s">
        <v>55</v>
      </c>
      <c r="C43" s="1" t="s">
        <v>42</v>
      </c>
      <c r="D43" s="1" t="n">
        <v>1</v>
      </c>
      <c r="E43" s="1" t="n">
        <v>2</v>
      </c>
      <c r="F43" s="1" t="s">
        <v>45</v>
      </c>
      <c r="G43" s="1" t="s">
        <v>46</v>
      </c>
      <c r="H43" s="1" t="n">
        <v>45</v>
      </c>
      <c r="I43" s="1" t="n">
        <v>4108.95</v>
      </c>
      <c r="J43" s="1" t="n">
        <v>300</v>
      </c>
    </row>
    <row r="44" customFormat="false" ht="15" hidden="false" customHeight="true" outlineLevel="0" collapsed="false">
      <c r="A44" s="1" t="s">
        <v>65</v>
      </c>
      <c r="B44" s="1" t="s">
        <v>55</v>
      </c>
      <c r="C44" s="1" t="s">
        <v>42</v>
      </c>
      <c r="D44" s="1" t="n">
        <v>1</v>
      </c>
      <c r="E44" s="1" t="n">
        <v>2</v>
      </c>
      <c r="F44" s="1" t="s">
        <v>47</v>
      </c>
      <c r="G44" s="1" t="s">
        <v>48</v>
      </c>
      <c r="H44" s="1" t="n">
        <v>10</v>
      </c>
      <c r="I44" s="1" t="n">
        <v>843.7</v>
      </c>
      <c r="J44" s="1" t="n">
        <v>300</v>
      </c>
    </row>
    <row r="45" customFormat="false" ht="15" hidden="false" customHeight="true" outlineLevel="0" collapsed="false">
      <c r="A45" s="1" t="s">
        <v>65</v>
      </c>
      <c r="B45" s="1" t="s">
        <v>55</v>
      </c>
      <c r="C45" s="1" t="s">
        <v>42</v>
      </c>
      <c r="D45" s="1" t="n">
        <v>1</v>
      </c>
      <c r="E45" s="1" t="n">
        <v>2</v>
      </c>
      <c r="F45" s="1" t="s">
        <v>49</v>
      </c>
      <c r="G45" s="1" t="s">
        <v>49</v>
      </c>
      <c r="H45" s="1" t="n">
        <v>30</v>
      </c>
      <c r="I45" s="1" t="n">
        <v>2467.2</v>
      </c>
      <c r="J45" s="1" t="n">
        <v>300</v>
      </c>
    </row>
    <row r="46" customFormat="false" ht="15" hidden="false" customHeight="true" outlineLevel="0" collapsed="false">
      <c r="A46" s="1" t="s">
        <v>66</v>
      </c>
      <c r="B46" s="1" t="s">
        <v>57</v>
      </c>
      <c r="C46" s="1" t="s">
        <v>42</v>
      </c>
      <c r="D46" s="1" t="n">
        <v>1</v>
      </c>
      <c r="E46" s="1" t="n">
        <v>2</v>
      </c>
      <c r="F46" s="1" t="s">
        <v>43</v>
      </c>
      <c r="G46" s="1" t="s">
        <v>44</v>
      </c>
      <c r="H46" s="1" t="n">
        <v>12</v>
      </c>
      <c r="I46" s="1" t="n">
        <v>1322.64</v>
      </c>
      <c r="J46" s="1" t="n">
        <v>300</v>
      </c>
    </row>
    <row r="47" customFormat="false" ht="15" hidden="false" customHeight="true" outlineLevel="0" collapsed="false">
      <c r="A47" s="1" t="s">
        <v>66</v>
      </c>
      <c r="B47" s="1" t="s">
        <v>57</v>
      </c>
      <c r="C47" s="1" t="s">
        <v>42</v>
      </c>
      <c r="D47" s="1" t="n">
        <v>1</v>
      </c>
      <c r="E47" s="1" t="n">
        <v>2</v>
      </c>
      <c r="F47" s="1" t="s">
        <v>45</v>
      </c>
      <c r="G47" s="1" t="s">
        <v>46</v>
      </c>
      <c r="H47" s="1" t="n">
        <v>40</v>
      </c>
      <c r="I47" s="1" t="n">
        <v>3988.8</v>
      </c>
      <c r="J47" s="1" t="n">
        <v>300</v>
      </c>
    </row>
    <row r="48" customFormat="false" ht="15" hidden="false" customHeight="true" outlineLevel="0" collapsed="false">
      <c r="A48" s="1" t="s">
        <v>66</v>
      </c>
      <c r="B48" s="1" t="s">
        <v>57</v>
      </c>
      <c r="C48" s="1" t="s">
        <v>42</v>
      </c>
      <c r="D48" s="1" t="n">
        <v>1</v>
      </c>
      <c r="E48" s="1" t="n">
        <v>2</v>
      </c>
      <c r="F48" s="1" t="s">
        <v>47</v>
      </c>
      <c r="G48" s="1" t="s">
        <v>48</v>
      </c>
      <c r="H48" s="1" t="n">
        <v>10</v>
      </c>
      <c r="I48" s="1" t="n">
        <v>852.8</v>
      </c>
      <c r="J48" s="1" t="n">
        <v>300</v>
      </c>
    </row>
    <row r="49" customFormat="false" ht="15" hidden="false" customHeight="true" outlineLevel="0" collapsed="false">
      <c r="A49" s="1" t="s">
        <v>66</v>
      </c>
      <c r="B49" s="1" t="s">
        <v>57</v>
      </c>
      <c r="C49" s="1" t="s">
        <v>42</v>
      </c>
      <c r="D49" s="1" t="n">
        <v>1</v>
      </c>
      <c r="E49" s="1" t="n">
        <v>2</v>
      </c>
      <c r="F49" s="1" t="s">
        <v>49</v>
      </c>
      <c r="G49" s="1" t="s">
        <v>49</v>
      </c>
      <c r="H49" s="1" t="n">
        <v>26</v>
      </c>
      <c r="I49" s="1" t="n">
        <v>1912.82</v>
      </c>
      <c r="J49" s="1" t="n">
        <v>300</v>
      </c>
    </row>
    <row r="50" customFormat="false" ht="15" hidden="false" customHeight="true" outlineLevel="0" collapsed="false">
      <c r="A50" s="1" t="s">
        <v>67</v>
      </c>
      <c r="B50" s="1" t="s">
        <v>59</v>
      </c>
      <c r="C50" s="1" t="s">
        <v>42</v>
      </c>
      <c r="D50" s="1" t="n">
        <v>1</v>
      </c>
      <c r="E50" s="1" t="n">
        <v>3</v>
      </c>
      <c r="F50" s="1" t="s">
        <v>43</v>
      </c>
      <c r="G50" s="1" t="s">
        <v>44</v>
      </c>
      <c r="H50" s="1" t="n">
        <v>70</v>
      </c>
      <c r="I50" s="1" t="n">
        <v>7602</v>
      </c>
      <c r="J50" s="1" t="n">
        <v>300</v>
      </c>
    </row>
    <row r="51" customFormat="false" ht="15" hidden="false" customHeight="true" outlineLevel="0" collapsed="false">
      <c r="A51" s="1" t="s">
        <v>67</v>
      </c>
      <c r="B51" s="1" t="s">
        <v>59</v>
      </c>
      <c r="C51" s="1" t="s">
        <v>42</v>
      </c>
      <c r="D51" s="1" t="n">
        <v>1</v>
      </c>
      <c r="E51" s="1" t="n">
        <v>3</v>
      </c>
      <c r="F51" s="1" t="s">
        <v>45</v>
      </c>
      <c r="G51" s="1" t="s">
        <v>46</v>
      </c>
      <c r="H51" s="1" t="n">
        <v>14</v>
      </c>
      <c r="I51" s="1" t="n">
        <v>1300.74</v>
      </c>
      <c r="J51" s="1" t="n">
        <v>300</v>
      </c>
    </row>
    <row r="52" customFormat="false" ht="15" hidden="false" customHeight="true" outlineLevel="0" collapsed="false">
      <c r="A52" s="1" t="s">
        <v>67</v>
      </c>
      <c r="B52" s="1" t="s">
        <v>59</v>
      </c>
      <c r="C52" s="1" t="s">
        <v>42</v>
      </c>
      <c r="D52" s="1" t="n">
        <v>1</v>
      </c>
      <c r="E52" s="1" t="n">
        <v>3</v>
      </c>
      <c r="F52" s="1" t="s">
        <v>47</v>
      </c>
      <c r="G52" s="1" t="s">
        <v>48</v>
      </c>
      <c r="H52" s="1" t="n">
        <v>18</v>
      </c>
      <c r="I52" s="1" t="n">
        <v>1526.22</v>
      </c>
      <c r="J52" s="1" t="n">
        <v>300</v>
      </c>
    </row>
    <row r="53" customFormat="false" ht="15" hidden="false" customHeight="true" outlineLevel="0" collapsed="false">
      <c r="A53" s="1" t="s">
        <v>67</v>
      </c>
      <c r="B53" s="1" t="s">
        <v>59</v>
      </c>
      <c r="C53" s="1" t="s">
        <v>42</v>
      </c>
      <c r="D53" s="1" t="n">
        <v>1</v>
      </c>
      <c r="E53" s="1" t="n">
        <v>3</v>
      </c>
      <c r="F53" s="1" t="s">
        <v>49</v>
      </c>
      <c r="G53" s="1" t="s">
        <v>49</v>
      </c>
      <c r="H53" s="1" t="n">
        <v>21</v>
      </c>
      <c r="I53" s="1" t="n">
        <v>1612.17</v>
      </c>
      <c r="J53" s="1" t="n">
        <v>300</v>
      </c>
    </row>
    <row r="54" customFormat="false" ht="15" hidden="false" customHeight="true" outlineLevel="0" collapsed="false">
      <c r="A54" s="1" t="s">
        <v>68</v>
      </c>
      <c r="B54" s="1" t="s">
        <v>61</v>
      </c>
      <c r="C54" s="1" t="s">
        <v>42</v>
      </c>
      <c r="D54" s="1" t="n">
        <v>1</v>
      </c>
      <c r="E54" s="1" t="n">
        <v>3</v>
      </c>
      <c r="F54" s="1" t="s">
        <v>43</v>
      </c>
      <c r="G54" s="1" t="s">
        <v>44</v>
      </c>
      <c r="H54" s="1" t="n">
        <v>67</v>
      </c>
      <c r="I54" s="1" t="n">
        <v>7337.84</v>
      </c>
      <c r="J54" s="1" t="n">
        <v>300</v>
      </c>
    </row>
    <row r="55" customFormat="false" ht="15" hidden="false" customHeight="true" outlineLevel="0" collapsed="false">
      <c r="A55" s="1" t="s">
        <v>68</v>
      </c>
      <c r="B55" s="1" t="s">
        <v>61</v>
      </c>
      <c r="C55" s="1" t="s">
        <v>42</v>
      </c>
      <c r="D55" s="1" t="n">
        <v>1</v>
      </c>
      <c r="E55" s="1" t="n">
        <v>3</v>
      </c>
      <c r="F55" s="1" t="s">
        <v>45</v>
      </c>
      <c r="G55" s="1" t="s">
        <v>46</v>
      </c>
      <c r="H55" s="1" t="n">
        <v>17</v>
      </c>
      <c r="I55" s="1" t="n">
        <v>1618.91</v>
      </c>
      <c r="J55" s="1" t="n">
        <v>300</v>
      </c>
    </row>
    <row r="56" customFormat="false" ht="15" hidden="false" customHeight="true" outlineLevel="0" collapsed="false">
      <c r="A56" s="1" t="s">
        <v>68</v>
      </c>
      <c r="B56" s="1" t="s">
        <v>61</v>
      </c>
      <c r="C56" s="1" t="s">
        <v>42</v>
      </c>
      <c r="D56" s="1" t="n">
        <v>1</v>
      </c>
      <c r="E56" s="1" t="n">
        <v>3</v>
      </c>
      <c r="F56" s="1" t="s">
        <v>47</v>
      </c>
      <c r="G56" s="1" t="s">
        <v>48</v>
      </c>
      <c r="H56" s="1" t="n">
        <v>21</v>
      </c>
      <c r="I56" s="1" t="n">
        <v>1818.6</v>
      </c>
      <c r="J56" s="1" t="n">
        <v>300</v>
      </c>
    </row>
    <row r="57" customFormat="false" ht="15" hidden="false" customHeight="true" outlineLevel="0" collapsed="false">
      <c r="A57" s="1" t="s">
        <v>68</v>
      </c>
      <c r="B57" s="1" t="s">
        <v>61</v>
      </c>
      <c r="C57" s="1" t="s">
        <v>42</v>
      </c>
      <c r="D57" s="1" t="n">
        <v>1</v>
      </c>
      <c r="E57" s="1" t="n">
        <v>3</v>
      </c>
      <c r="F57" s="1" t="s">
        <v>49</v>
      </c>
      <c r="G57" s="1" t="s">
        <v>49</v>
      </c>
      <c r="H57" s="1" t="n">
        <v>18</v>
      </c>
      <c r="I57" s="1" t="n">
        <v>1449.36</v>
      </c>
      <c r="J57" s="1" t="n">
        <v>300</v>
      </c>
    </row>
    <row r="58" customFormat="false" ht="15" hidden="false" customHeight="true" outlineLevel="0" collapsed="false">
      <c r="A58" s="1" t="s">
        <v>69</v>
      </c>
      <c r="B58" s="1" t="s">
        <v>41</v>
      </c>
      <c r="C58" s="1" t="s">
        <v>42</v>
      </c>
      <c r="D58" s="1" t="n">
        <v>1</v>
      </c>
      <c r="E58" s="1" t="n">
        <v>3</v>
      </c>
      <c r="F58" s="1" t="s">
        <v>43</v>
      </c>
      <c r="G58" s="1" t="s">
        <v>44</v>
      </c>
      <c r="H58" s="1" t="n">
        <v>69</v>
      </c>
      <c r="I58" s="1" t="n">
        <v>8468.37</v>
      </c>
      <c r="J58" s="1" t="n">
        <v>300</v>
      </c>
    </row>
    <row r="59" customFormat="false" ht="15" hidden="false" customHeight="true" outlineLevel="0" collapsed="false">
      <c r="A59" s="1" t="s">
        <v>69</v>
      </c>
      <c r="B59" s="1" t="s">
        <v>41</v>
      </c>
      <c r="C59" s="1" t="s">
        <v>42</v>
      </c>
      <c r="D59" s="1" t="n">
        <v>1</v>
      </c>
      <c r="E59" s="1" t="n">
        <v>3</v>
      </c>
      <c r="F59" s="1" t="s">
        <v>45</v>
      </c>
      <c r="G59" s="1" t="s">
        <v>46</v>
      </c>
      <c r="H59" s="1" t="n">
        <v>14</v>
      </c>
      <c r="I59" s="1" t="n">
        <v>1343.16</v>
      </c>
      <c r="J59" s="1" t="n">
        <v>300</v>
      </c>
    </row>
    <row r="60" customFormat="false" ht="15" hidden="false" customHeight="true" outlineLevel="0" collapsed="false">
      <c r="A60" s="1" t="s">
        <v>69</v>
      </c>
      <c r="B60" s="1" t="s">
        <v>41</v>
      </c>
      <c r="C60" s="1" t="s">
        <v>42</v>
      </c>
      <c r="D60" s="1" t="n">
        <v>1</v>
      </c>
      <c r="E60" s="1" t="n">
        <v>3</v>
      </c>
      <c r="F60" s="1" t="s">
        <v>47</v>
      </c>
      <c r="G60" s="1" t="s">
        <v>48</v>
      </c>
      <c r="H60" s="1" t="n">
        <v>20</v>
      </c>
      <c r="I60" s="1" t="n">
        <v>1617.8</v>
      </c>
      <c r="J60" s="1" t="n">
        <v>300</v>
      </c>
    </row>
    <row r="61" customFormat="false" ht="15" hidden="false" customHeight="true" outlineLevel="0" collapsed="false">
      <c r="A61" s="1" t="s">
        <v>69</v>
      </c>
      <c r="B61" s="1" t="s">
        <v>41</v>
      </c>
      <c r="C61" s="1" t="s">
        <v>42</v>
      </c>
      <c r="D61" s="1" t="n">
        <v>1</v>
      </c>
      <c r="E61" s="1" t="n">
        <v>3</v>
      </c>
      <c r="F61" s="1" t="s">
        <v>49</v>
      </c>
      <c r="G61" s="1" t="s">
        <v>49</v>
      </c>
      <c r="H61" s="1" t="n">
        <v>24</v>
      </c>
      <c r="I61" s="1" t="n">
        <v>2022.96</v>
      </c>
      <c r="J61" s="1" t="n">
        <v>300</v>
      </c>
    </row>
    <row r="62" customFormat="false" ht="15" hidden="false" customHeight="true" outlineLevel="0" collapsed="false">
      <c r="A62" s="1" t="s">
        <v>70</v>
      </c>
      <c r="B62" s="1" t="s">
        <v>51</v>
      </c>
      <c r="C62" s="1" t="s">
        <v>42</v>
      </c>
      <c r="D62" s="1" t="n">
        <v>1</v>
      </c>
      <c r="E62" s="1" t="n">
        <v>3</v>
      </c>
      <c r="F62" s="1" t="s">
        <v>43</v>
      </c>
      <c r="G62" s="1" t="s">
        <v>44</v>
      </c>
      <c r="H62" s="1" t="n">
        <v>73</v>
      </c>
      <c r="I62" s="1" t="n">
        <v>7379.57</v>
      </c>
      <c r="J62" s="1" t="n">
        <v>300</v>
      </c>
    </row>
    <row r="63" customFormat="false" ht="15" hidden="false" customHeight="true" outlineLevel="0" collapsed="false">
      <c r="A63" s="1" t="s">
        <v>70</v>
      </c>
      <c r="B63" s="1" t="s">
        <v>51</v>
      </c>
      <c r="C63" s="1" t="s">
        <v>42</v>
      </c>
      <c r="D63" s="1" t="n">
        <v>1</v>
      </c>
      <c r="E63" s="1" t="n">
        <v>3</v>
      </c>
      <c r="F63" s="1" t="s">
        <v>45</v>
      </c>
      <c r="G63" s="1" t="s">
        <v>46</v>
      </c>
      <c r="H63" s="1" t="n">
        <v>16</v>
      </c>
      <c r="I63" s="1" t="n">
        <v>1380.96</v>
      </c>
      <c r="J63" s="1" t="n">
        <v>300</v>
      </c>
    </row>
    <row r="64" customFormat="false" ht="15" hidden="false" customHeight="true" outlineLevel="0" collapsed="false">
      <c r="A64" s="1" t="s">
        <v>70</v>
      </c>
      <c r="B64" s="1" t="s">
        <v>51</v>
      </c>
      <c r="C64" s="1" t="s">
        <v>42</v>
      </c>
      <c r="D64" s="1" t="n">
        <v>1</v>
      </c>
      <c r="E64" s="1" t="n">
        <v>3</v>
      </c>
      <c r="F64" s="1" t="s">
        <v>47</v>
      </c>
      <c r="G64" s="1" t="s">
        <v>48</v>
      </c>
      <c r="H64" s="1" t="n">
        <v>21</v>
      </c>
      <c r="I64" s="1" t="n">
        <v>2066.82</v>
      </c>
      <c r="J64" s="1" t="n">
        <v>300</v>
      </c>
    </row>
    <row r="65" customFormat="false" ht="15" hidden="false" customHeight="true" outlineLevel="0" collapsed="false">
      <c r="A65" s="1" t="s">
        <v>70</v>
      </c>
      <c r="B65" s="1" t="s">
        <v>51</v>
      </c>
      <c r="C65" s="1" t="s">
        <v>42</v>
      </c>
      <c r="D65" s="1" t="n">
        <v>1</v>
      </c>
      <c r="E65" s="1" t="n">
        <v>3</v>
      </c>
      <c r="F65" s="1" t="s">
        <v>49</v>
      </c>
      <c r="G65" s="1" t="s">
        <v>49</v>
      </c>
      <c r="H65" s="1" t="n">
        <v>20</v>
      </c>
      <c r="I65" s="1" t="n">
        <v>1558.2</v>
      </c>
      <c r="J65" s="1" t="n">
        <v>300</v>
      </c>
    </row>
    <row r="66" customFormat="false" ht="15" hidden="false" customHeight="true" outlineLevel="0" collapsed="false">
      <c r="A66" s="1" t="s">
        <v>71</v>
      </c>
      <c r="B66" s="1" t="s">
        <v>53</v>
      </c>
      <c r="C66" s="1" t="s">
        <v>42</v>
      </c>
      <c r="D66" s="1" t="n">
        <v>1</v>
      </c>
      <c r="E66" s="1" t="n">
        <v>3</v>
      </c>
      <c r="F66" s="1" t="s">
        <v>43</v>
      </c>
      <c r="G66" s="1" t="s">
        <v>44</v>
      </c>
      <c r="H66" s="1" t="n">
        <v>69</v>
      </c>
      <c r="I66" s="1" t="n">
        <v>7155.3</v>
      </c>
      <c r="J66" s="1" t="n">
        <v>300</v>
      </c>
    </row>
    <row r="67" customFormat="false" ht="15" hidden="false" customHeight="true" outlineLevel="0" collapsed="false">
      <c r="A67" s="1" t="s">
        <v>71</v>
      </c>
      <c r="B67" s="1" t="s">
        <v>53</v>
      </c>
      <c r="C67" s="1" t="s">
        <v>42</v>
      </c>
      <c r="D67" s="1" t="n">
        <v>1</v>
      </c>
      <c r="E67" s="1" t="n">
        <v>3</v>
      </c>
      <c r="F67" s="1" t="s">
        <v>45</v>
      </c>
      <c r="G67" s="1" t="s">
        <v>46</v>
      </c>
      <c r="H67" s="1" t="n">
        <v>12</v>
      </c>
      <c r="I67" s="1" t="n">
        <v>1135.56</v>
      </c>
      <c r="J67" s="1" t="n">
        <v>300</v>
      </c>
    </row>
    <row r="68" customFormat="false" ht="15" hidden="false" customHeight="true" outlineLevel="0" collapsed="false">
      <c r="A68" s="1" t="s">
        <v>71</v>
      </c>
      <c r="B68" s="1" t="s">
        <v>53</v>
      </c>
      <c r="C68" s="1" t="s">
        <v>42</v>
      </c>
      <c r="D68" s="1" t="n">
        <v>1</v>
      </c>
      <c r="E68" s="1" t="n">
        <v>3</v>
      </c>
      <c r="F68" s="1" t="s">
        <v>47</v>
      </c>
      <c r="G68" s="1" t="s">
        <v>48</v>
      </c>
      <c r="H68" s="1" t="n">
        <v>18</v>
      </c>
      <c r="I68" s="1" t="n">
        <v>1610.28</v>
      </c>
      <c r="J68" s="1" t="n">
        <v>300</v>
      </c>
    </row>
    <row r="69" customFormat="false" ht="15" hidden="false" customHeight="true" outlineLevel="0" collapsed="false">
      <c r="A69" s="1" t="s">
        <v>71</v>
      </c>
      <c r="B69" s="1" t="s">
        <v>53</v>
      </c>
      <c r="C69" s="1" t="s">
        <v>42</v>
      </c>
      <c r="D69" s="1" t="n">
        <v>1</v>
      </c>
      <c r="E69" s="1" t="n">
        <v>3</v>
      </c>
      <c r="F69" s="1" t="s">
        <v>49</v>
      </c>
      <c r="G69" s="1" t="s">
        <v>49</v>
      </c>
      <c r="H69" s="1" t="n">
        <v>20</v>
      </c>
      <c r="I69" s="1" t="n">
        <v>1763</v>
      </c>
      <c r="J69" s="1" t="n">
        <v>300</v>
      </c>
    </row>
    <row r="70" customFormat="false" ht="15" hidden="false" customHeight="true" outlineLevel="0" collapsed="false">
      <c r="A70" s="1" t="s">
        <v>72</v>
      </c>
      <c r="B70" s="1" t="s">
        <v>55</v>
      </c>
      <c r="C70" s="1" t="s">
        <v>42</v>
      </c>
      <c r="D70" s="1" t="n">
        <v>1</v>
      </c>
      <c r="E70" s="1" t="n">
        <v>3</v>
      </c>
      <c r="F70" s="1" t="s">
        <v>43</v>
      </c>
      <c r="G70" s="1" t="s">
        <v>44</v>
      </c>
      <c r="H70" s="1" t="n">
        <v>12</v>
      </c>
      <c r="I70" s="1" t="n">
        <v>1258.32</v>
      </c>
      <c r="J70" s="1" t="n">
        <v>300</v>
      </c>
    </row>
    <row r="71" customFormat="false" ht="15" hidden="false" customHeight="true" outlineLevel="0" collapsed="false">
      <c r="A71" s="1" t="s">
        <v>72</v>
      </c>
      <c r="B71" s="1" t="s">
        <v>55</v>
      </c>
      <c r="C71" s="1" t="s">
        <v>42</v>
      </c>
      <c r="D71" s="1" t="n">
        <v>1</v>
      </c>
      <c r="E71" s="1" t="n">
        <v>3</v>
      </c>
      <c r="F71" s="1" t="s">
        <v>45</v>
      </c>
      <c r="G71" s="1" t="s">
        <v>46</v>
      </c>
      <c r="H71" s="1" t="n">
        <v>42</v>
      </c>
      <c r="I71" s="1" t="n">
        <v>3665.76</v>
      </c>
      <c r="J71" s="1" t="n">
        <v>300</v>
      </c>
    </row>
    <row r="72" customFormat="false" ht="15" hidden="false" customHeight="true" outlineLevel="0" collapsed="false">
      <c r="A72" s="1" t="s">
        <v>72</v>
      </c>
      <c r="B72" s="1" t="s">
        <v>55</v>
      </c>
      <c r="C72" s="1" t="s">
        <v>42</v>
      </c>
      <c r="D72" s="1" t="n">
        <v>1</v>
      </c>
      <c r="E72" s="1" t="n">
        <v>3</v>
      </c>
      <c r="F72" s="1" t="s">
        <v>47</v>
      </c>
      <c r="G72" s="1" t="s">
        <v>48</v>
      </c>
      <c r="H72" s="1" t="n">
        <v>11</v>
      </c>
      <c r="I72" s="1" t="n">
        <v>1031.91</v>
      </c>
      <c r="J72" s="1" t="n">
        <v>300</v>
      </c>
    </row>
    <row r="73" customFormat="false" ht="15" hidden="false" customHeight="true" outlineLevel="0" collapsed="false">
      <c r="A73" s="1" t="s">
        <v>72</v>
      </c>
      <c r="B73" s="1" t="s">
        <v>55</v>
      </c>
      <c r="C73" s="1" t="s">
        <v>42</v>
      </c>
      <c r="D73" s="1" t="n">
        <v>1</v>
      </c>
      <c r="E73" s="1" t="n">
        <v>3</v>
      </c>
      <c r="F73" s="1" t="s">
        <v>49</v>
      </c>
      <c r="G73" s="1" t="s">
        <v>49</v>
      </c>
      <c r="H73" s="1" t="n">
        <v>23</v>
      </c>
      <c r="I73" s="1" t="n">
        <v>1875.42</v>
      </c>
      <c r="J73" s="1" t="n">
        <v>300</v>
      </c>
    </row>
    <row r="74" customFormat="false" ht="15" hidden="false" customHeight="true" outlineLevel="0" collapsed="false">
      <c r="A74" s="1" t="s">
        <v>73</v>
      </c>
      <c r="B74" s="1" t="s">
        <v>57</v>
      </c>
      <c r="C74" s="1" t="s">
        <v>42</v>
      </c>
      <c r="D74" s="1" t="n">
        <v>1</v>
      </c>
      <c r="E74" s="1" t="n">
        <v>3</v>
      </c>
      <c r="F74" s="1" t="s">
        <v>43</v>
      </c>
      <c r="G74" s="1" t="s">
        <v>44</v>
      </c>
      <c r="H74" s="1" t="n">
        <v>13</v>
      </c>
      <c r="I74" s="1" t="n">
        <v>1455.22</v>
      </c>
      <c r="J74" s="1" t="n">
        <v>300</v>
      </c>
    </row>
    <row r="75" customFormat="false" ht="15" hidden="false" customHeight="true" outlineLevel="0" collapsed="false">
      <c r="A75" s="1" t="s">
        <v>73</v>
      </c>
      <c r="B75" s="1" t="s">
        <v>57</v>
      </c>
      <c r="C75" s="1" t="s">
        <v>42</v>
      </c>
      <c r="D75" s="1" t="n">
        <v>1</v>
      </c>
      <c r="E75" s="1" t="n">
        <v>3</v>
      </c>
      <c r="F75" s="1" t="s">
        <v>45</v>
      </c>
      <c r="G75" s="1" t="s">
        <v>46</v>
      </c>
      <c r="H75" s="1" t="n">
        <v>35</v>
      </c>
      <c r="I75" s="1" t="n">
        <v>3036.95</v>
      </c>
      <c r="J75" s="1" t="n">
        <v>300</v>
      </c>
    </row>
    <row r="76" customFormat="false" ht="15" hidden="false" customHeight="true" outlineLevel="0" collapsed="false">
      <c r="A76" s="1" t="s">
        <v>73</v>
      </c>
      <c r="B76" s="1" t="s">
        <v>57</v>
      </c>
      <c r="C76" s="1" t="s">
        <v>42</v>
      </c>
      <c r="D76" s="1" t="n">
        <v>1</v>
      </c>
      <c r="E76" s="1" t="n">
        <v>3</v>
      </c>
      <c r="F76" s="1" t="s">
        <v>47</v>
      </c>
      <c r="G76" s="1" t="s">
        <v>48</v>
      </c>
      <c r="H76" s="1" t="n">
        <v>11</v>
      </c>
      <c r="I76" s="1" t="n">
        <v>973.94</v>
      </c>
      <c r="J76" s="1" t="n">
        <v>300</v>
      </c>
    </row>
    <row r="77" customFormat="false" ht="15" hidden="false" customHeight="true" outlineLevel="0" collapsed="false">
      <c r="A77" s="1" t="s">
        <v>73</v>
      </c>
      <c r="B77" s="1" t="s">
        <v>57</v>
      </c>
      <c r="C77" s="1" t="s">
        <v>42</v>
      </c>
      <c r="D77" s="1" t="n">
        <v>1</v>
      </c>
      <c r="E77" s="1" t="n">
        <v>3</v>
      </c>
      <c r="F77" s="1" t="s">
        <v>49</v>
      </c>
      <c r="G77" s="1" t="s">
        <v>49</v>
      </c>
      <c r="H77" s="1" t="n">
        <v>28</v>
      </c>
      <c r="I77" s="1" t="n">
        <v>2304.96</v>
      </c>
      <c r="J77" s="1" t="n">
        <v>300</v>
      </c>
    </row>
    <row r="78" customFormat="false" ht="15" hidden="false" customHeight="true" outlineLevel="0" collapsed="false">
      <c r="A78" s="1" t="s">
        <v>74</v>
      </c>
      <c r="B78" s="1" t="s">
        <v>59</v>
      </c>
      <c r="C78" s="1" t="s">
        <v>42</v>
      </c>
      <c r="D78" s="1" t="n">
        <v>1</v>
      </c>
      <c r="E78" s="1" t="n">
        <v>4</v>
      </c>
      <c r="F78" s="1" t="s">
        <v>43</v>
      </c>
      <c r="G78" s="1" t="s">
        <v>44</v>
      </c>
      <c r="H78" s="1" t="n">
        <v>64</v>
      </c>
      <c r="I78" s="1" t="n">
        <v>6938.88</v>
      </c>
      <c r="J78" s="1" t="n">
        <v>300</v>
      </c>
    </row>
    <row r="79" customFormat="false" ht="15" hidden="false" customHeight="true" outlineLevel="0" collapsed="false">
      <c r="A79" s="1" t="s">
        <v>74</v>
      </c>
      <c r="B79" s="1" t="s">
        <v>59</v>
      </c>
      <c r="C79" s="1" t="s">
        <v>42</v>
      </c>
      <c r="D79" s="1" t="n">
        <v>1</v>
      </c>
      <c r="E79" s="1" t="n">
        <v>4</v>
      </c>
      <c r="F79" s="1" t="s">
        <v>45</v>
      </c>
      <c r="G79" s="1" t="s">
        <v>46</v>
      </c>
      <c r="H79" s="1" t="n">
        <v>15</v>
      </c>
      <c r="I79" s="1" t="n">
        <v>1353</v>
      </c>
      <c r="J79" s="1" t="n">
        <v>300</v>
      </c>
    </row>
    <row r="80" customFormat="false" ht="15" hidden="false" customHeight="true" outlineLevel="0" collapsed="false">
      <c r="A80" s="1" t="s">
        <v>74</v>
      </c>
      <c r="B80" s="1" t="s">
        <v>59</v>
      </c>
      <c r="C80" s="1" t="s">
        <v>42</v>
      </c>
      <c r="D80" s="1" t="n">
        <v>1</v>
      </c>
      <c r="E80" s="1" t="n">
        <v>4</v>
      </c>
      <c r="F80" s="1" t="s">
        <v>47</v>
      </c>
      <c r="G80" s="1" t="s">
        <v>48</v>
      </c>
      <c r="H80" s="1" t="n">
        <v>24</v>
      </c>
      <c r="I80" s="1" t="n">
        <v>2147.04</v>
      </c>
      <c r="J80" s="1" t="n">
        <v>300</v>
      </c>
    </row>
    <row r="81" customFormat="false" ht="15" hidden="false" customHeight="true" outlineLevel="0" collapsed="false">
      <c r="A81" s="1" t="s">
        <v>74</v>
      </c>
      <c r="B81" s="1" t="s">
        <v>59</v>
      </c>
      <c r="C81" s="1" t="s">
        <v>42</v>
      </c>
      <c r="D81" s="1" t="n">
        <v>1</v>
      </c>
      <c r="E81" s="1" t="n">
        <v>4</v>
      </c>
      <c r="F81" s="1" t="s">
        <v>49</v>
      </c>
      <c r="G81" s="1" t="s">
        <v>49</v>
      </c>
      <c r="H81" s="1" t="n">
        <v>19</v>
      </c>
      <c r="I81" s="1" t="n">
        <v>1592.58</v>
      </c>
      <c r="J81" s="1" t="n">
        <v>300</v>
      </c>
    </row>
    <row r="82" customFormat="false" ht="15" hidden="false" customHeight="true" outlineLevel="0" collapsed="false">
      <c r="A82" s="1" t="s">
        <v>75</v>
      </c>
      <c r="B82" s="1" t="s">
        <v>61</v>
      </c>
      <c r="C82" s="1" t="s">
        <v>42</v>
      </c>
      <c r="D82" s="1" t="n">
        <v>1</v>
      </c>
      <c r="E82" s="1" t="n">
        <v>4</v>
      </c>
      <c r="F82" s="1" t="s">
        <v>43</v>
      </c>
      <c r="G82" s="1" t="s">
        <v>44</v>
      </c>
      <c r="H82" s="1" t="n">
        <v>62</v>
      </c>
      <c r="I82" s="1" t="n">
        <v>6942.76</v>
      </c>
      <c r="J82" s="1" t="n">
        <v>300</v>
      </c>
    </row>
    <row r="83" customFormat="false" ht="15" hidden="false" customHeight="true" outlineLevel="0" collapsed="false">
      <c r="A83" s="1" t="s">
        <v>75</v>
      </c>
      <c r="B83" s="1" t="s">
        <v>61</v>
      </c>
      <c r="C83" s="1" t="s">
        <v>42</v>
      </c>
      <c r="D83" s="1" t="n">
        <v>1</v>
      </c>
      <c r="E83" s="1" t="n">
        <v>4</v>
      </c>
      <c r="F83" s="1" t="s">
        <v>45</v>
      </c>
      <c r="G83" s="1" t="s">
        <v>46</v>
      </c>
      <c r="H83" s="1" t="n">
        <v>16</v>
      </c>
      <c r="I83" s="1" t="n">
        <v>1433.6</v>
      </c>
      <c r="J83" s="1" t="n">
        <v>300</v>
      </c>
    </row>
    <row r="84" customFormat="false" ht="15" hidden="false" customHeight="true" outlineLevel="0" collapsed="false">
      <c r="A84" s="1" t="s">
        <v>75</v>
      </c>
      <c r="B84" s="1" t="s">
        <v>61</v>
      </c>
      <c r="C84" s="1" t="s">
        <v>42</v>
      </c>
      <c r="D84" s="1" t="n">
        <v>1</v>
      </c>
      <c r="E84" s="1" t="n">
        <v>4</v>
      </c>
      <c r="F84" s="1" t="s">
        <v>47</v>
      </c>
      <c r="G84" s="1" t="s">
        <v>48</v>
      </c>
      <c r="H84" s="1" t="n">
        <v>22</v>
      </c>
      <c r="I84" s="1" t="n">
        <v>1961.08</v>
      </c>
      <c r="J84" s="1" t="n">
        <v>300</v>
      </c>
    </row>
    <row r="85" customFormat="false" ht="15" hidden="false" customHeight="true" outlineLevel="0" collapsed="false">
      <c r="A85" s="1" t="s">
        <v>75</v>
      </c>
      <c r="B85" s="1" t="s">
        <v>61</v>
      </c>
      <c r="C85" s="1" t="s">
        <v>42</v>
      </c>
      <c r="D85" s="1" t="n">
        <v>1</v>
      </c>
      <c r="E85" s="1" t="n">
        <v>4</v>
      </c>
      <c r="F85" s="1" t="s">
        <v>49</v>
      </c>
      <c r="G85" s="1" t="s">
        <v>49</v>
      </c>
      <c r="H85" s="1" t="n">
        <v>23</v>
      </c>
      <c r="I85" s="1" t="n">
        <v>2066.09</v>
      </c>
      <c r="J85" s="1" t="n">
        <v>300</v>
      </c>
    </row>
    <row r="86" customFormat="false" ht="15" hidden="false" customHeight="true" outlineLevel="0" collapsed="false">
      <c r="A86" s="1" t="s">
        <v>76</v>
      </c>
      <c r="B86" s="1" t="s">
        <v>41</v>
      </c>
      <c r="C86" s="1" t="s">
        <v>42</v>
      </c>
      <c r="D86" s="1" t="n">
        <v>1</v>
      </c>
      <c r="E86" s="1" t="n">
        <v>4</v>
      </c>
      <c r="F86" s="1" t="s">
        <v>43</v>
      </c>
      <c r="G86" s="1" t="s">
        <v>44</v>
      </c>
      <c r="H86" s="1" t="n">
        <v>67</v>
      </c>
      <c r="I86" s="1" t="n">
        <v>6840.03</v>
      </c>
      <c r="J86" s="1" t="n">
        <v>300</v>
      </c>
    </row>
    <row r="87" customFormat="false" ht="15" hidden="false" customHeight="true" outlineLevel="0" collapsed="false">
      <c r="A87" s="1" t="s">
        <v>76</v>
      </c>
      <c r="B87" s="1" t="s">
        <v>41</v>
      </c>
      <c r="C87" s="1" t="s">
        <v>42</v>
      </c>
      <c r="D87" s="1" t="n">
        <v>1</v>
      </c>
      <c r="E87" s="1" t="n">
        <v>4</v>
      </c>
      <c r="F87" s="1" t="s">
        <v>45</v>
      </c>
      <c r="G87" s="1" t="s">
        <v>46</v>
      </c>
      <c r="H87" s="1" t="n">
        <v>13</v>
      </c>
      <c r="I87" s="1" t="n">
        <v>1165.19</v>
      </c>
      <c r="J87" s="1" t="n">
        <v>300</v>
      </c>
    </row>
    <row r="88" customFormat="false" ht="15" hidden="false" customHeight="true" outlineLevel="0" collapsed="false">
      <c r="A88" s="1" t="s">
        <v>76</v>
      </c>
      <c r="B88" s="1" t="s">
        <v>41</v>
      </c>
      <c r="C88" s="1" t="s">
        <v>42</v>
      </c>
      <c r="D88" s="1" t="n">
        <v>1</v>
      </c>
      <c r="E88" s="1" t="n">
        <v>4</v>
      </c>
      <c r="F88" s="1" t="s">
        <v>47</v>
      </c>
      <c r="G88" s="1" t="s">
        <v>48</v>
      </c>
      <c r="H88" s="1" t="n">
        <v>20</v>
      </c>
      <c r="I88" s="1" t="n">
        <v>1775.4</v>
      </c>
      <c r="J88" s="1" t="n">
        <v>300</v>
      </c>
    </row>
    <row r="89" customFormat="false" ht="15" hidden="false" customHeight="true" outlineLevel="0" collapsed="false">
      <c r="A89" s="1" t="s">
        <v>76</v>
      </c>
      <c r="B89" s="1" t="s">
        <v>41</v>
      </c>
      <c r="C89" s="1" t="s">
        <v>42</v>
      </c>
      <c r="D89" s="1" t="n">
        <v>1</v>
      </c>
      <c r="E89" s="1" t="n">
        <v>4</v>
      </c>
      <c r="F89" s="1" t="s">
        <v>49</v>
      </c>
      <c r="G89" s="1" t="s">
        <v>49</v>
      </c>
      <c r="H89" s="1" t="n">
        <v>22</v>
      </c>
      <c r="I89" s="1" t="n">
        <v>1862.3</v>
      </c>
      <c r="J89" s="1" t="n">
        <v>300</v>
      </c>
    </row>
    <row r="90" customFormat="false" ht="15" hidden="false" customHeight="true" outlineLevel="0" collapsed="false">
      <c r="A90" s="1" t="s">
        <v>77</v>
      </c>
      <c r="B90" s="1" t="s">
        <v>51</v>
      </c>
      <c r="C90" s="1" t="s">
        <v>42</v>
      </c>
      <c r="D90" s="1" t="n">
        <v>1</v>
      </c>
      <c r="E90" s="1" t="n">
        <v>4</v>
      </c>
      <c r="F90" s="1" t="s">
        <v>43</v>
      </c>
      <c r="G90" s="1" t="s">
        <v>44</v>
      </c>
      <c r="H90" s="1" t="n">
        <v>68</v>
      </c>
      <c r="I90" s="1" t="n">
        <v>7905</v>
      </c>
      <c r="J90" s="1" t="n">
        <v>300</v>
      </c>
    </row>
    <row r="91" customFormat="false" ht="15" hidden="false" customHeight="true" outlineLevel="0" collapsed="false">
      <c r="A91" s="1" t="s">
        <v>77</v>
      </c>
      <c r="B91" s="1" t="s">
        <v>51</v>
      </c>
      <c r="C91" s="1" t="s">
        <v>42</v>
      </c>
      <c r="D91" s="1" t="n">
        <v>1</v>
      </c>
      <c r="E91" s="1" t="n">
        <v>4</v>
      </c>
      <c r="F91" s="1" t="s">
        <v>45</v>
      </c>
      <c r="G91" s="1" t="s">
        <v>46</v>
      </c>
      <c r="H91" s="1" t="n">
        <v>14</v>
      </c>
      <c r="I91" s="1" t="n">
        <v>1534.68</v>
      </c>
      <c r="J91" s="1" t="n">
        <v>300</v>
      </c>
    </row>
    <row r="92" customFormat="false" ht="15" hidden="false" customHeight="true" outlineLevel="0" collapsed="false">
      <c r="A92" s="1" t="s">
        <v>77</v>
      </c>
      <c r="B92" s="1" t="s">
        <v>51</v>
      </c>
      <c r="C92" s="1" t="s">
        <v>42</v>
      </c>
      <c r="D92" s="1" t="n">
        <v>1</v>
      </c>
      <c r="E92" s="1" t="n">
        <v>4</v>
      </c>
      <c r="F92" s="1" t="s">
        <v>47</v>
      </c>
      <c r="G92" s="1" t="s">
        <v>48</v>
      </c>
      <c r="H92" s="1" t="n">
        <v>21</v>
      </c>
      <c r="I92" s="1" t="n">
        <v>1732.92</v>
      </c>
      <c r="J92" s="1" t="n">
        <v>300</v>
      </c>
    </row>
    <row r="93" customFormat="false" ht="15" hidden="false" customHeight="true" outlineLevel="0" collapsed="false">
      <c r="A93" s="1" t="s">
        <v>77</v>
      </c>
      <c r="B93" s="1" t="s">
        <v>51</v>
      </c>
      <c r="C93" s="1" t="s">
        <v>42</v>
      </c>
      <c r="D93" s="1" t="n">
        <v>1</v>
      </c>
      <c r="E93" s="1" t="n">
        <v>4</v>
      </c>
      <c r="F93" s="1" t="s">
        <v>49</v>
      </c>
      <c r="G93" s="1" t="s">
        <v>49</v>
      </c>
      <c r="H93" s="1" t="n">
        <v>20</v>
      </c>
      <c r="I93" s="1" t="n">
        <v>1659.6</v>
      </c>
      <c r="J93" s="1" t="n">
        <v>300</v>
      </c>
    </row>
    <row r="94" customFormat="false" ht="15" hidden="false" customHeight="true" outlineLevel="0" collapsed="false">
      <c r="A94" s="1" t="s">
        <v>78</v>
      </c>
      <c r="B94" s="1" t="s">
        <v>53</v>
      </c>
      <c r="C94" s="1" t="s">
        <v>42</v>
      </c>
      <c r="D94" s="1" t="n">
        <v>1</v>
      </c>
      <c r="E94" s="1" t="n">
        <v>4</v>
      </c>
      <c r="F94" s="1" t="s">
        <v>43</v>
      </c>
      <c r="G94" s="1" t="s">
        <v>44</v>
      </c>
      <c r="H94" s="1" t="n">
        <v>67</v>
      </c>
      <c r="I94" s="1" t="n">
        <v>7471.17</v>
      </c>
      <c r="J94" s="1" t="n">
        <v>300</v>
      </c>
    </row>
    <row r="95" customFormat="false" ht="15" hidden="false" customHeight="true" outlineLevel="0" collapsed="false">
      <c r="A95" s="1" t="s">
        <v>78</v>
      </c>
      <c r="B95" s="1" t="s">
        <v>53</v>
      </c>
      <c r="C95" s="1" t="s">
        <v>42</v>
      </c>
      <c r="D95" s="1" t="n">
        <v>1</v>
      </c>
      <c r="E95" s="1" t="n">
        <v>4</v>
      </c>
      <c r="F95" s="1" t="s">
        <v>45</v>
      </c>
      <c r="G95" s="1" t="s">
        <v>46</v>
      </c>
      <c r="H95" s="1" t="n">
        <v>15</v>
      </c>
      <c r="I95" s="1" t="n">
        <v>1407.45</v>
      </c>
      <c r="J95" s="1" t="n">
        <v>300</v>
      </c>
    </row>
    <row r="96" customFormat="false" ht="15" hidden="false" customHeight="true" outlineLevel="0" collapsed="false">
      <c r="A96" s="1" t="s">
        <v>78</v>
      </c>
      <c r="B96" s="1" t="s">
        <v>53</v>
      </c>
      <c r="C96" s="1" t="s">
        <v>42</v>
      </c>
      <c r="D96" s="1" t="n">
        <v>1</v>
      </c>
      <c r="E96" s="1" t="n">
        <v>4</v>
      </c>
      <c r="F96" s="1" t="s">
        <v>47</v>
      </c>
      <c r="G96" s="1" t="s">
        <v>48</v>
      </c>
      <c r="H96" s="1" t="n">
        <v>19</v>
      </c>
      <c r="I96" s="1" t="n">
        <v>1502.52</v>
      </c>
      <c r="J96" s="1" t="n">
        <v>300</v>
      </c>
    </row>
    <row r="97" customFormat="false" ht="15" hidden="false" customHeight="true" outlineLevel="0" collapsed="false">
      <c r="A97" s="1" t="s">
        <v>78</v>
      </c>
      <c r="B97" s="1" t="s">
        <v>53</v>
      </c>
      <c r="C97" s="1" t="s">
        <v>42</v>
      </c>
      <c r="D97" s="1" t="n">
        <v>1</v>
      </c>
      <c r="E97" s="1" t="n">
        <v>4</v>
      </c>
      <c r="F97" s="1" t="s">
        <v>49</v>
      </c>
      <c r="G97" s="1" t="s">
        <v>49</v>
      </c>
      <c r="H97" s="1" t="n">
        <v>21</v>
      </c>
      <c r="I97" s="1" t="n">
        <v>1780.59</v>
      </c>
      <c r="J97" s="1" t="n">
        <v>300</v>
      </c>
    </row>
    <row r="98" customFormat="false" ht="15" hidden="false" customHeight="true" outlineLevel="0" collapsed="false">
      <c r="A98" s="1" t="s">
        <v>79</v>
      </c>
      <c r="B98" s="1" t="s">
        <v>55</v>
      </c>
      <c r="C98" s="1" t="s">
        <v>42</v>
      </c>
      <c r="D98" s="1" t="n">
        <v>1</v>
      </c>
      <c r="E98" s="1" t="n">
        <v>4</v>
      </c>
      <c r="F98" s="1" t="s">
        <v>43</v>
      </c>
      <c r="G98" s="1" t="s">
        <v>44</v>
      </c>
      <c r="H98" s="1" t="n">
        <v>13</v>
      </c>
      <c r="I98" s="1" t="n">
        <v>1286.09</v>
      </c>
      <c r="J98" s="1" t="n">
        <v>300</v>
      </c>
    </row>
    <row r="99" customFormat="false" ht="15" hidden="false" customHeight="true" outlineLevel="0" collapsed="false">
      <c r="A99" s="1" t="s">
        <v>79</v>
      </c>
      <c r="B99" s="1" t="s">
        <v>55</v>
      </c>
      <c r="C99" s="1" t="s">
        <v>42</v>
      </c>
      <c r="D99" s="1" t="n">
        <v>1</v>
      </c>
      <c r="E99" s="1" t="n">
        <v>4</v>
      </c>
      <c r="F99" s="1" t="s">
        <v>45</v>
      </c>
      <c r="G99" s="1" t="s">
        <v>46</v>
      </c>
      <c r="H99" s="1" t="n">
        <v>40</v>
      </c>
      <c r="I99" s="1" t="n">
        <v>3856.8</v>
      </c>
      <c r="J99" s="1" t="n">
        <v>300</v>
      </c>
    </row>
    <row r="100" customFormat="false" ht="15" hidden="false" customHeight="true" outlineLevel="0" collapsed="false">
      <c r="A100" s="1" t="s">
        <v>79</v>
      </c>
      <c r="B100" s="1" t="s">
        <v>55</v>
      </c>
      <c r="C100" s="1" t="s">
        <v>42</v>
      </c>
      <c r="D100" s="1" t="n">
        <v>1</v>
      </c>
      <c r="E100" s="1" t="n">
        <v>4</v>
      </c>
      <c r="F100" s="1" t="s">
        <v>47</v>
      </c>
      <c r="G100" s="1" t="s">
        <v>48</v>
      </c>
      <c r="H100" s="1" t="n">
        <v>10</v>
      </c>
      <c r="I100" s="1" t="n">
        <v>877.9</v>
      </c>
      <c r="J100" s="1" t="n">
        <v>300</v>
      </c>
    </row>
    <row r="101" customFormat="false" ht="15" hidden="false" customHeight="true" outlineLevel="0" collapsed="false">
      <c r="A101" s="1" t="s">
        <v>79</v>
      </c>
      <c r="B101" s="1" t="s">
        <v>55</v>
      </c>
      <c r="C101" s="1" t="s">
        <v>42</v>
      </c>
      <c r="D101" s="1" t="n">
        <v>1</v>
      </c>
      <c r="E101" s="1" t="n">
        <v>4</v>
      </c>
      <c r="F101" s="1" t="s">
        <v>49</v>
      </c>
      <c r="G101" s="1" t="s">
        <v>49</v>
      </c>
      <c r="H101" s="1" t="n">
        <v>28</v>
      </c>
      <c r="I101" s="1" t="n">
        <v>2103.36</v>
      </c>
      <c r="J101" s="1" t="n">
        <v>300</v>
      </c>
    </row>
    <row r="102" customFormat="false" ht="15" hidden="false" customHeight="true" outlineLevel="0" collapsed="false">
      <c r="A102" s="1" t="s">
        <v>80</v>
      </c>
      <c r="B102" s="1" t="s">
        <v>57</v>
      </c>
      <c r="C102" s="1" t="s">
        <v>42</v>
      </c>
      <c r="D102" s="1" t="n">
        <v>1</v>
      </c>
      <c r="E102" s="1" t="n">
        <v>4</v>
      </c>
      <c r="F102" s="1" t="s">
        <v>43</v>
      </c>
      <c r="G102" s="1" t="s">
        <v>44</v>
      </c>
      <c r="H102" s="1" t="n">
        <v>13</v>
      </c>
      <c r="I102" s="1" t="n">
        <v>1436.76</v>
      </c>
      <c r="J102" s="1" t="n">
        <v>300</v>
      </c>
    </row>
    <row r="103" customFormat="false" ht="15" hidden="false" customHeight="true" outlineLevel="0" collapsed="false">
      <c r="A103" s="1" t="s">
        <v>80</v>
      </c>
      <c r="B103" s="1" t="s">
        <v>57</v>
      </c>
      <c r="C103" s="1" t="s">
        <v>42</v>
      </c>
      <c r="D103" s="1" t="n">
        <v>1</v>
      </c>
      <c r="E103" s="1" t="n">
        <v>4</v>
      </c>
      <c r="F103" s="1" t="s">
        <v>45</v>
      </c>
      <c r="G103" s="1" t="s">
        <v>46</v>
      </c>
      <c r="H103" s="1" t="n">
        <v>43</v>
      </c>
      <c r="I103" s="1" t="n">
        <v>4308.6</v>
      </c>
      <c r="J103" s="1" t="n">
        <v>300</v>
      </c>
    </row>
    <row r="104" customFormat="false" ht="15" hidden="false" customHeight="true" outlineLevel="0" collapsed="false">
      <c r="A104" s="1" t="s">
        <v>80</v>
      </c>
      <c r="B104" s="1" t="s">
        <v>57</v>
      </c>
      <c r="C104" s="1" t="s">
        <v>42</v>
      </c>
      <c r="D104" s="1" t="n">
        <v>1</v>
      </c>
      <c r="E104" s="1" t="n">
        <v>4</v>
      </c>
      <c r="F104" s="1" t="s">
        <v>47</v>
      </c>
      <c r="G104" s="1" t="s">
        <v>48</v>
      </c>
      <c r="H104" s="1" t="n">
        <v>9</v>
      </c>
      <c r="I104" s="1" t="n">
        <v>738.9</v>
      </c>
      <c r="J104" s="1" t="n">
        <v>300</v>
      </c>
    </row>
    <row r="105" customFormat="false" ht="15" hidden="false" customHeight="true" outlineLevel="0" collapsed="false">
      <c r="A105" s="1" t="s">
        <v>80</v>
      </c>
      <c r="B105" s="1" t="s">
        <v>57</v>
      </c>
      <c r="C105" s="1" t="s">
        <v>42</v>
      </c>
      <c r="D105" s="1" t="n">
        <v>1</v>
      </c>
      <c r="E105" s="1" t="n">
        <v>4</v>
      </c>
      <c r="F105" s="1" t="s">
        <v>49</v>
      </c>
      <c r="G105" s="1" t="s">
        <v>49</v>
      </c>
      <c r="H105" s="1" t="n">
        <v>29</v>
      </c>
      <c r="I105" s="1" t="n">
        <v>2410.77</v>
      </c>
      <c r="J105" s="1" t="n">
        <v>300</v>
      </c>
    </row>
    <row r="106" customFormat="false" ht="15" hidden="false" customHeight="true" outlineLevel="0" collapsed="false">
      <c r="A106" s="1" t="s">
        <v>81</v>
      </c>
      <c r="B106" s="1" t="s">
        <v>59</v>
      </c>
      <c r="C106" s="1" t="s">
        <v>42</v>
      </c>
      <c r="D106" s="1" t="n">
        <v>1</v>
      </c>
      <c r="E106" s="1" t="n">
        <v>5</v>
      </c>
      <c r="F106" s="1" t="s">
        <v>43</v>
      </c>
      <c r="G106" s="1" t="s">
        <v>44</v>
      </c>
      <c r="H106" s="1" t="n">
        <v>72</v>
      </c>
      <c r="I106" s="1" t="n">
        <v>9478.08</v>
      </c>
      <c r="J106" s="1" t="n">
        <v>300</v>
      </c>
    </row>
    <row r="107" customFormat="false" ht="15" hidden="false" customHeight="true" outlineLevel="0" collapsed="false">
      <c r="A107" s="1" t="s">
        <v>81</v>
      </c>
      <c r="B107" s="1" t="s">
        <v>59</v>
      </c>
      <c r="C107" s="1" t="s">
        <v>42</v>
      </c>
      <c r="D107" s="1" t="n">
        <v>1</v>
      </c>
      <c r="E107" s="1" t="n">
        <v>5</v>
      </c>
      <c r="F107" s="1" t="s">
        <v>45</v>
      </c>
      <c r="G107" s="1" t="s">
        <v>46</v>
      </c>
      <c r="H107" s="1" t="n">
        <v>15</v>
      </c>
      <c r="I107" s="1" t="n">
        <v>1509.9</v>
      </c>
      <c r="J107" s="1" t="n">
        <v>300</v>
      </c>
    </row>
    <row r="108" customFormat="false" ht="15" hidden="false" customHeight="true" outlineLevel="0" collapsed="false">
      <c r="A108" s="1" t="s">
        <v>81</v>
      </c>
      <c r="B108" s="1" t="s">
        <v>59</v>
      </c>
      <c r="C108" s="1" t="s">
        <v>42</v>
      </c>
      <c r="D108" s="1" t="n">
        <v>1</v>
      </c>
      <c r="E108" s="1" t="n">
        <v>5</v>
      </c>
      <c r="F108" s="1" t="s">
        <v>47</v>
      </c>
      <c r="G108" s="1" t="s">
        <v>48</v>
      </c>
      <c r="H108" s="1" t="n">
        <v>22</v>
      </c>
      <c r="I108" s="1" t="n">
        <v>1988.58</v>
      </c>
      <c r="J108" s="1" t="n">
        <v>300</v>
      </c>
    </row>
    <row r="109" customFormat="false" ht="15" hidden="false" customHeight="true" outlineLevel="0" collapsed="false">
      <c r="A109" s="1" t="s">
        <v>81</v>
      </c>
      <c r="B109" s="1" t="s">
        <v>59</v>
      </c>
      <c r="C109" s="1" t="s">
        <v>42</v>
      </c>
      <c r="D109" s="1" t="n">
        <v>1</v>
      </c>
      <c r="E109" s="1" t="n">
        <v>5</v>
      </c>
      <c r="F109" s="1" t="s">
        <v>49</v>
      </c>
      <c r="G109" s="1" t="s">
        <v>49</v>
      </c>
      <c r="H109" s="1" t="n">
        <v>21</v>
      </c>
      <c r="I109" s="1" t="n">
        <v>1770.72</v>
      </c>
      <c r="J109" s="1" t="n">
        <v>300</v>
      </c>
    </row>
    <row r="110" customFormat="false" ht="15" hidden="false" customHeight="true" outlineLevel="0" collapsed="false">
      <c r="A110" s="1" t="s">
        <v>82</v>
      </c>
      <c r="B110" s="1" t="s">
        <v>61</v>
      </c>
      <c r="C110" s="1" t="s">
        <v>42</v>
      </c>
      <c r="D110" s="1" t="n">
        <v>1</v>
      </c>
      <c r="E110" s="1" t="n">
        <v>5</v>
      </c>
      <c r="F110" s="1" t="s">
        <v>43</v>
      </c>
      <c r="G110" s="1" t="s">
        <v>44</v>
      </c>
      <c r="H110" s="1" t="n">
        <v>64</v>
      </c>
      <c r="I110" s="1" t="n">
        <v>6746.24</v>
      </c>
      <c r="J110" s="1" t="n">
        <v>300</v>
      </c>
    </row>
    <row r="111" customFormat="false" ht="15" hidden="false" customHeight="true" outlineLevel="0" collapsed="false">
      <c r="A111" s="1" t="s">
        <v>82</v>
      </c>
      <c r="B111" s="1" t="s">
        <v>61</v>
      </c>
      <c r="C111" s="1" t="s">
        <v>42</v>
      </c>
      <c r="D111" s="1" t="n">
        <v>1</v>
      </c>
      <c r="E111" s="1" t="n">
        <v>5</v>
      </c>
      <c r="F111" s="1" t="s">
        <v>45</v>
      </c>
      <c r="G111" s="1" t="s">
        <v>46</v>
      </c>
      <c r="H111" s="1" t="n">
        <v>14</v>
      </c>
      <c r="I111" s="1" t="n">
        <v>1325.8</v>
      </c>
      <c r="J111" s="1" t="n">
        <v>300</v>
      </c>
    </row>
    <row r="112" customFormat="false" ht="15" hidden="false" customHeight="true" outlineLevel="0" collapsed="false">
      <c r="A112" s="1" t="s">
        <v>82</v>
      </c>
      <c r="B112" s="1" t="s">
        <v>61</v>
      </c>
      <c r="C112" s="1" t="s">
        <v>42</v>
      </c>
      <c r="D112" s="1" t="n">
        <v>1</v>
      </c>
      <c r="E112" s="1" t="n">
        <v>5</v>
      </c>
      <c r="F112" s="1" t="s">
        <v>47</v>
      </c>
      <c r="G112" s="1" t="s">
        <v>48</v>
      </c>
      <c r="H112" s="1" t="n">
        <v>24</v>
      </c>
      <c r="I112" s="1" t="n">
        <v>1853.76</v>
      </c>
      <c r="J112" s="1" t="n">
        <v>300</v>
      </c>
    </row>
    <row r="113" customFormat="false" ht="15" hidden="false" customHeight="true" outlineLevel="0" collapsed="false">
      <c r="A113" s="1" t="s">
        <v>82</v>
      </c>
      <c r="B113" s="1" t="s">
        <v>61</v>
      </c>
      <c r="C113" s="1" t="s">
        <v>42</v>
      </c>
      <c r="D113" s="1" t="n">
        <v>1</v>
      </c>
      <c r="E113" s="1" t="n">
        <v>5</v>
      </c>
      <c r="F113" s="1" t="s">
        <v>49</v>
      </c>
      <c r="G113" s="1" t="s">
        <v>49</v>
      </c>
      <c r="H113" s="1" t="n">
        <v>23</v>
      </c>
      <c r="I113" s="1" t="n">
        <v>1675.32</v>
      </c>
      <c r="J113" s="1" t="n">
        <v>300</v>
      </c>
    </row>
    <row r="114" customFormat="false" ht="15" hidden="false" customHeight="true" outlineLevel="0" collapsed="false">
      <c r="A114" s="1" t="s">
        <v>83</v>
      </c>
      <c r="B114" s="1" t="s">
        <v>41</v>
      </c>
      <c r="C114" s="1" t="s">
        <v>42</v>
      </c>
      <c r="D114" s="1" t="n">
        <v>1</v>
      </c>
      <c r="E114" s="1" t="n">
        <v>5</v>
      </c>
      <c r="F114" s="1" t="s">
        <v>43</v>
      </c>
      <c r="G114" s="1" t="s">
        <v>44</v>
      </c>
      <c r="H114" s="1" t="n">
        <v>65</v>
      </c>
      <c r="I114" s="1" t="n">
        <v>7404.15</v>
      </c>
      <c r="J114" s="1" t="n">
        <v>300</v>
      </c>
    </row>
    <row r="115" customFormat="false" ht="15" hidden="false" customHeight="true" outlineLevel="0" collapsed="false">
      <c r="A115" s="1" t="s">
        <v>83</v>
      </c>
      <c r="B115" s="1" t="s">
        <v>41</v>
      </c>
      <c r="C115" s="1" t="s">
        <v>42</v>
      </c>
      <c r="D115" s="1" t="n">
        <v>1</v>
      </c>
      <c r="E115" s="1" t="n">
        <v>5</v>
      </c>
      <c r="F115" s="1" t="s">
        <v>45</v>
      </c>
      <c r="G115" s="1" t="s">
        <v>46</v>
      </c>
      <c r="H115" s="1" t="n">
        <v>14</v>
      </c>
      <c r="I115" s="1" t="n">
        <v>1234.1</v>
      </c>
      <c r="J115" s="1" t="n">
        <v>300</v>
      </c>
    </row>
    <row r="116" customFormat="false" ht="15" hidden="false" customHeight="true" outlineLevel="0" collapsed="false">
      <c r="A116" s="1" t="s">
        <v>83</v>
      </c>
      <c r="B116" s="1" t="s">
        <v>41</v>
      </c>
      <c r="C116" s="1" t="s">
        <v>42</v>
      </c>
      <c r="D116" s="1" t="n">
        <v>1</v>
      </c>
      <c r="E116" s="1" t="n">
        <v>5</v>
      </c>
      <c r="F116" s="1" t="s">
        <v>47</v>
      </c>
      <c r="G116" s="1" t="s">
        <v>48</v>
      </c>
      <c r="H116" s="1" t="n">
        <v>19</v>
      </c>
      <c r="I116" s="1" t="n">
        <v>1720.26</v>
      </c>
      <c r="J116" s="1" t="n">
        <v>300</v>
      </c>
    </row>
    <row r="117" customFormat="false" ht="15" hidden="false" customHeight="true" outlineLevel="0" collapsed="false">
      <c r="A117" s="1" t="s">
        <v>83</v>
      </c>
      <c r="B117" s="1" t="s">
        <v>41</v>
      </c>
      <c r="C117" s="1" t="s">
        <v>42</v>
      </c>
      <c r="D117" s="1" t="n">
        <v>1</v>
      </c>
      <c r="E117" s="1" t="n">
        <v>5</v>
      </c>
      <c r="F117" s="1" t="s">
        <v>49</v>
      </c>
      <c r="G117" s="1" t="s">
        <v>49</v>
      </c>
      <c r="H117" s="1" t="n">
        <v>20</v>
      </c>
      <c r="I117" s="1" t="n">
        <v>1633.8</v>
      </c>
      <c r="J117" s="1" t="n">
        <v>300</v>
      </c>
    </row>
    <row r="118" customFormat="false" ht="15" hidden="false" customHeight="true" outlineLevel="0" collapsed="false">
      <c r="A118" s="1" t="s">
        <v>84</v>
      </c>
      <c r="B118" s="1" t="s">
        <v>51</v>
      </c>
      <c r="C118" s="1" t="s">
        <v>42</v>
      </c>
      <c r="D118" s="1" t="n">
        <v>1</v>
      </c>
      <c r="E118" s="1" t="n">
        <v>5</v>
      </c>
      <c r="F118" s="1" t="s">
        <v>43</v>
      </c>
      <c r="G118" s="1" t="s">
        <v>44</v>
      </c>
      <c r="H118" s="1" t="n">
        <v>69</v>
      </c>
      <c r="I118" s="1" t="n">
        <v>7089.75</v>
      </c>
      <c r="J118" s="1" t="n">
        <v>300</v>
      </c>
    </row>
    <row r="119" customFormat="false" ht="15" hidden="false" customHeight="true" outlineLevel="0" collapsed="false">
      <c r="A119" s="1" t="s">
        <v>84</v>
      </c>
      <c r="B119" s="1" t="s">
        <v>51</v>
      </c>
      <c r="C119" s="1" t="s">
        <v>42</v>
      </c>
      <c r="D119" s="1" t="n">
        <v>1</v>
      </c>
      <c r="E119" s="1" t="n">
        <v>5</v>
      </c>
      <c r="F119" s="1" t="s">
        <v>45</v>
      </c>
      <c r="G119" s="1" t="s">
        <v>46</v>
      </c>
      <c r="H119" s="1" t="n">
        <v>17</v>
      </c>
      <c r="I119" s="1" t="n">
        <v>1662.94</v>
      </c>
      <c r="J119" s="1" t="n">
        <v>300</v>
      </c>
    </row>
    <row r="120" customFormat="false" ht="15" hidden="false" customHeight="true" outlineLevel="0" collapsed="false">
      <c r="A120" s="1" t="s">
        <v>84</v>
      </c>
      <c r="B120" s="1" t="s">
        <v>51</v>
      </c>
      <c r="C120" s="1" t="s">
        <v>42</v>
      </c>
      <c r="D120" s="1" t="n">
        <v>1</v>
      </c>
      <c r="E120" s="1" t="n">
        <v>5</v>
      </c>
      <c r="F120" s="1" t="s">
        <v>47</v>
      </c>
      <c r="G120" s="1" t="s">
        <v>48</v>
      </c>
      <c r="H120" s="1" t="n">
        <v>16</v>
      </c>
      <c r="I120" s="1" t="n">
        <v>1407.36</v>
      </c>
      <c r="J120" s="1" t="n">
        <v>300</v>
      </c>
    </row>
    <row r="121" customFormat="false" ht="15" hidden="false" customHeight="true" outlineLevel="0" collapsed="false">
      <c r="A121" s="1" t="s">
        <v>84</v>
      </c>
      <c r="B121" s="1" t="s">
        <v>51</v>
      </c>
      <c r="C121" s="1" t="s">
        <v>42</v>
      </c>
      <c r="D121" s="1" t="n">
        <v>1</v>
      </c>
      <c r="E121" s="1" t="n">
        <v>5</v>
      </c>
      <c r="F121" s="1" t="s">
        <v>49</v>
      </c>
      <c r="G121" s="1" t="s">
        <v>49</v>
      </c>
      <c r="H121" s="1" t="n">
        <v>20</v>
      </c>
      <c r="I121" s="1" t="n">
        <v>1695.4</v>
      </c>
      <c r="J121" s="1" t="n">
        <v>300</v>
      </c>
    </row>
    <row r="122" customFormat="false" ht="15" hidden="false" customHeight="true" outlineLevel="0" collapsed="false">
      <c r="A122" s="1" t="s">
        <v>85</v>
      </c>
      <c r="B122" s="1" t="s">
        <v>53</v>
      </c>
      <c r="C122" s="1" t="s">
        <v>42</v>
      </c>
      <c r="D122" s="1" t="n">
        <v>1</v>
      </c>
      <c r="E122" s="1" t="n">
        <v>5</v>
      </c>
      <c r="F122" s="1" t="s">
        <v>43</v>
      </c>
      <c r="G122" s="1" t="s">
        <v>44</v>
      </c>
      <c r="H122" s="1" t="n">
        <v>64</v>
      </c>
      <c r="I122" s="1" t="n">
        <v>6796.16</v>
      </c>
      <c r="J122" s="1" t="n">
        <v>300</v>
      </c>
    </row>
    <row r="123" customFormat="false" ht="15" hidden="false" customHeight="true" outlineLevel="0" collapsed="false">
      <c r="A123" s="1" t="s">
        <v>85</v>
      </c>
      <c r="B123" s="1" t="s">
        <v>53</v>
      </c>
      <c r="C123" s="1" t="s">
        <v>42</v>
      </c>
      <c r="D123" s="1" t="n">
        <v>1</v>
      </c>
      <c r="E123" s="1" t="n">
        <v>5</v>
      </c>
      <c r="F123" s="1" t="s">
        <v>45</v>
      </c>
      <c r="G123" s="1" t="s">
        <v>46</v>
      </c>
      <c r="H123" s="1" t="n">
        <v>15</v>
      </c>
      <c r="I123" s="1" t="n">
        <v>1486.95</v>
      </c>
      <c r="J123" s="1" t="n">
        <v>300</v>
      </c>
    </row>
    <row r="124" customFormat="false" ht="15" hidden="false" customHeight="true" outlineLevel="0" collapsed="false">
      <c r="A124" s="1" t="s">
        <v>85</v>
      </c>
      <c r="B124" s="1" t="s">
        <v>53</v>
      </c>
      <c r="C124" s="1" t="s">
        <v>42</v>
      </c>
      <c r="D124" s="1" t="n">
        <v>1</v>
      </c>
      <c r="E124" s="1" t="n">
        <v>5</v>
      </c>
      <c r="F124" s="1" t="s">
        <v>47</v>
      </c>
      <c r="G124" s="1" t="s">
        <v>48</v>
      </c>
      <c r="H124" s="1" t="n">
        <v>18</v>
      </c>
      <c r="I124" s="1" t="n">
        <v>1534.32</v>
      </c>
      <c r="J124" s="1" t="n">
        <v>300</v>
      </c>
    </row>
    <row r="125" customFormat="false" ht="15" hidden="false" customHeight="true" outlineLevel="0" collapsed="false">
      <c r="A125" s="1" t="s">
        <v>85</v>
      </c>
      <c r="B125" s="1" t="s">
        <v>53</v>
      </c>
      <c r="C125" s="1" t="s">
        <v>42</v>
      </c>
      <c r="D125" s="1" t="n">
        <v>1</v>
      </c>
      <c r="E125" s="1" t="n">
        <v>5</v>
      </c>
      <c r="F125" s="1" t="s">
        <v>49</v>
      </c>
      <c r="G125" s="1" t="s">
        <v>49</v>
      </c>
      <c r="H125" s="1" t="n">
        <v>21</v>
      </c>
      <c r="I125" s="1" t="n">
        <v>1627.29</v>
      </c>
      <c r="J125" s="1" t="n">
        <v>300</v>
      </c>
    </row>
    <row r="126" customFormat="false" ht="15" hidden="false" customHeight="true" outlineLevel="0" collapsed="false">
      <c r="A126" s="1" t="s">
        <v>86</v>
      </c>
      <c r="B126" s="1" t="s">
        <v>55</v>
      </c>
      <c r="C126" s="1" t="s">
        <v>87</v>
      </c>
      <c r="D126" s="1" t="n">
        <v>2</v>
      </c>
      <c r="E126" s="1" t="n">
        <v>5</v>
      </c>
      <c r="F126" s="1" t="s">
        <v>43</v>
      </c>
      <c r="G126" s="1" t="s">
        <v>44</v>
      </c>
      <c r="H126" s="1" t="n">
        <v>18</v>
      </c>
      <c r="I126" s="1" t="n">
        <v>2072.16</v>
      </c>
      <c r="J126" s="1" t="n">
        <v>300</v>
      </c>
    </row>
    <row r="127" customFormat="false" ht="15" hidden="false" customHeight="true" outlineLevel="0" collapsed="false">
      <c r="A127" s="1" t="s">
        <v>86</v>
      </c>
      <c r="B127" s="1" t="s">
        <v>55</v>
      </c>
      <c r="C127" s="1" t="s">
        <v>87</v>
      </c>
      <c r="D127" s="1" t="n">
        <v>2</v>
      </c>
      <c r="E127" s="1" t="n">
        <v>5</v>
      </c>
      <c r="F127" s="1" t="s">
        <v>45</v>
      </c>
      <c r="G127" s="1" t="s">
        <v>46</v>
      </c>
      <c r="H127" s="1" t="n">
        <v>41</v>
      </c>
      <c r="I127" s="1" t="n">
        <v>4284.91</v>
      </c>
      <c r="J127" s="1" t="n">
        <v>300</v>
      </c>
    </row>
    <row r="128" customFormat="false" ht="15" hidden="false" customHeight="true" outlineLevel="0" collapsed="false">
      <c r="A128" s="1" t="s">
        <v>86</v>
      </c>
      <c r="B128" s="1" t="s">
        <v>55</v>
      </c>
      <c r="C128" s="1" t="s">
        <v>87</v>
      </c>
      <c r="D128" s="1" t="n">
        <v>2</v>
      </c>
      <c r="E128" s="1" t="n">
        <v>5</v>
      </c>
      <c r="F128" s="1" t="s">
        <v>47</v>
      </c>
      <c r="G128" s="1" t="s">
        <v>48</v>
      </c>
      <c r="H128" s="1" t="n">
        <v>15</v>
      </c>
      <c r="I128" s="1" t="n">
        <v>1456.5</v>
      </c>
      <c r="J128" s="1" t="n">
        <v>300</v>
      </c>
    </row>
    <row r="129" customFormat="false" ht="15" hidden="false" customHeight="true" outlineLevel="0" collapsed="false">
      <c r="A129" s="1" t="s">
        <v>86</v>
      </c>
      <c r="B129" s="1" t="s">
        <v>55</v>
      </c>
      <c r="C129" s="1" t="s">
        <v>87</v>
      </c>
      <c r="D129" s="1" t="n">
        <v>2</v>
      </c>
      <c r="E129" s="1" t="n">
        <v>5</v>
      </c>
      <c r="F129" s="1" t="s">
        <v>49</v>
      </c>
      <c r="G129" s="1" t="s">
        <v>49</v>
      </c>
      <c r="H129" s="1" t="n">
        <v>28</v>
      </c>
      <c r="I129" s="1" t="n">
        <v>2304.4</v>
      </c>
      <c r="J129" s="1" t="n">
        <v>300</v>
      </c>
    </row>
    <row r="130" customFormat="false" ht="15" hidden="false" customHeight="true" outlineLevel="0" collapsed="false">
      <c r="A130" s="1" t="s">
        <v>88</v>
      </c>
      <c r="B130" s="1" t="s">
        <v>57</v>
      </c>
      <c r="C130" s="1" t="s">
        <v>87</v>
      </c>
      <c r="D130" s="1" t="n">
        <v>2</v>
      </c>
      <c r="E130" s="1" t="n">
        <v>5</v>
      </c>
      <c r="F130" s="1" t="s">
        <v>43</v>
      </c>
      <c r="G130" s="1" t="s">
        <v>44</v>
      </c>
      <c r="H130" s="1" t="n">
        <v>17</v>
      </c>
      <c r="I130" s="1" t="n">
        <v>1829.37</v>
      </c>
      <c r="J130" s="1" t="n">
        <v>300</v>
      </c>
    </row>
    <row r="131" customFormat="false" ht="15" hidden="false" customHeight="true" outlineLevel="0" collapsed="false">
      <c r="A131" s="1" t="s">
        <v>88</v>
      </c>
      <c r="B131" s="1" t="s">
        <v>57</v>
      </c>
      <c r="C131" s="1" t="s">
        <v>87</v>
      </c>
      <c r="D131" s="1" t="n">
        <v>2</v>
      </c>
      <c r="E131" s="1" t="n">
        <v>5</v>
      </c>
      <c r="F131" s="1" t="s">
        <v>45</v>
      </c>
      <c r="G131" s="1" t="s">
        <v>46</v>
      </c>
      <c r="H131" s="1" t="n">
        <v>49</v>
      </c>
      <c r="I131" s="1" t="n">
        <v>5078.85</v>
      </c>
      <c r="J131" s="1" t="n">
        <v>300</v>
      </c>
    </row>
    <row r="132" customFormat="false" ht="15" hidden="false" customHeight="true" outlineLevel="0" collapsed="false">
      <c r="A132" s="1" t="s">
        <v>88</v>
      </c>
      <c r="B132" s="1" t="s">
        <v>57</v>
      </c>
      <c r="C132" s="1" t="s">
        <v>87</v>
      </c>
      <c r="D132" s="1" t="n">
        <v>2</v>
      </c>
      <c r="E132" s="1" t="n">
        <v>5</v>
      </c>
      <c r="F132" s="1" t="s">
        <v>47</v>
      </c>
      <c r="G132" s="1" t="s">
        <v>48</v>
      </c>
      <c r="H132" s="1" t="n">
        <v>12</v>
      </c>
      <c r="I132" s="1" t="n">
        <v>1093.32</v>
      </c>
      <c r="J132" s="1" t="n">
        <v>300</v>
      </c>
    </row>
    <row r="133" customFormat="false" ht="15" hidden="false" customHeight="true" outlineLevel="0" collapsed="false">
      <c r="A133" s="1" t="s">
        <v>88</v>
      </c>
      <c r="B133" s="1" t="s">
        <v>57</v>
      </c>
      <c r="C133" s="1" t="s">
        <v>87</v>
      </c>
      <c r="D133" s="1" t="n">
        <v>2</v>
      </c>
      <c r="E133" s="1" t="n">
        <v>5</v>
      </c>
      <c r="F133" s="1" t="s">
        <v>49</v>
      </c>
      <c r="G133" s="1" t="s">
        <v>49</v>
      </c>
      <c r="H133" s="1" t="n">
        <v>23</v>
      </c>
      <c r="I133" s="1" t="n">
        <v>1829.65</v>
      </c>
      <c r="J133" s="1" t="n">
        <v>300</v>
      </c>
    </row>
    <row r="134" customFormat="false" ht="15" hidden="false" customHeight="true" outlineLevel="0" collapsed="false">
      <c r="A134" s="1" t="s">
        <v>89</v>
      </c>
      <c r="B134" s="1" t="s">
        <v>59</v>
      </c>
      <c r="C134" s="1" t="s">
        <v>87</v>
      </c>
      <c r="D134" s="1" t="n">
        <v>2</v>
      </c>
      <c r="E134" s="1" t="n">
        <v>6</v>
      </c>
      <c r="F134" s="1" t="s">
        <v>43</v>
      </c>
      <c r="G134" s="1" t="s">
        <v>44</v>
      </c>
      <c r="H134" s="1" t="n">
        <v>79</v>
      </c>
      <c r="I134" s="1" t="n">
        <v>8213.63</v>
      </c>
      <c r="J134" s="1" t="n">
        <v>300</v>
      </c>
    </row>
    <row r="135" customFormat="false" ht="15" hidden="false" customHeight="true" outlineLevel="0" collapsed="false">
      <c r="A135" s="1" t="s">
        <v>89</v>
      </c>
      <c r="B135" s="1" t="s">
        <v>59</v>
      </c>
      <c r="C135" s="1" t="s">
        <v>87</v>
      </c>
      <c r="D135" s="1" t="n">
        <v>2</v>
      </c>
      <c r="E135" s="1" t="n">
        <v>6</v>
      </c>
      <c r="F135" s="1" t="s">
        <v>45</v>
      </c>
      <c r="G135" s="1" t="s">
        <v>46</v>
      </c>
      <c r="H135" s="1" t="n">
        <v>19</v>
      </c>
      <c r="I135" s="1" t="n">
        <v>1720.45</v>
      </c>
      <c r="J135" s="1" t="n">
        <v>300</v>
      </c>
    </row>
    <row r="136" customFormat="false" ht="15" hidden="false" customHeight="true" outlineLevel="0" collapsed="false">
      <c r="A136" s="1" t="s">
        <v>89</v>
      </c>
      <c r="B136" s="1" t="s">
        <v>59</v>
      </c>
      <c r="C136" s="1" t="s">
        <v>87</v>
      </c>
      <c r="D136" s="1" t="n">
        <v>2</v>
      </c>
      <c r="E136" s="1" t="n">
        <v>6</v>
      </c>
      <c r="F136" s="1" t="s">
        <v>47</v>
      </c>
      <c r="G136" s="1" t="s">
        <v>48</v>
      </c>
      <c r="H136" s="1" t="n">
        <v>23</v>
      </c>
      <c r="I136" s="1" t="n">
        <v>2119.45</v>
      </c>
      <c r="J136" s="1" t="n">
        <v>300</v>
      </c>
    </row>
    <row r="137" customFormat="false" ht="15" hidden="false" customHeight="true" outlineLevel="0" collapsed="false">
      <c r="A137" s="1" t="s">
        <v>89</v>
      </c>
      <c r="B137" s="1" t="s">
        <v>59</v>
      </c>
      <c r="C137" s="1" t="s">
        <v>87</v>
      </c>
      <c r="D137" s="1" t="n">
        <v>2</v>
      </c>
      <c r="E137" s="1" t="n">
        <v>6</v>
      </c>
      <c r="F137" s="1" t="s">
        <v>49</v>
      </c>
      <c r="G137" s="1" t="s">
        <v>49</v>
      </c>
      <c r="H137" s="1" t="n">
        <v>29</v>
      </c>
      <c r="I137" s="1" t="n">
        <v>2246.34</v>
      </c>
      <c r="J137" s="1" t="n">
        <v>300</v>
      </c>
    </row>
    <row r="138" customFormat="false" ht="15" hidden="false" customHeight="true" outlineLevel="0" collapsed="false">
      <c r="A138" s="1" t="s">
        <v>90</v>
      </c>
      <c r="B138" s="1" t="s">
        <v>61</v>
      </c>
      <c r="C138" s="1" t="s">
        <v>87</v>
      </c>
      <c r="D138" s="1" t="n">
        <v>2</v>
      </c>
      <c r="E138" s="1" t="n">
        <v>6</v>
      </c>
      <c r="F138" s="1" t="s">
        <v>43</v>
      </c>
      <c r="G138" s="1" t="s">
        <v>44</v>
      </c>
      <c r="H138" s="1" t="n">
        <v>89</v>
      </c>
      <c r="I138" s="1" t="n">
        <v>10008.05</v>
      </c>
      <c r="J138" s="1" t="n">
        <v>300</v>
      </c>
    </row>
    <row r="139" customFormat="false" ht="15" hidden="false" customHeight="true" outlineLevel="0" collapsed="false">
      <c r="A139" s="1" t="s">
        <v>90</v>
      </c>
      <c r="B139" s="1" t="s">
        <v>61</v>
      </c>
      <c r="C139" s="1" t="s">
        <v>87</v>
      </c>
      <c r="D139" s="1" t="n">
        <v>2</v>
      </c>
      <c r="E139" s="1" t="n">
        <v>6</v>
      </c>
      <c r="F139" s="1" t="s">
        <v>45</v>
      </c>
      <c r="G139" s="1" t="s">
        <v>46</v>
      </c>
      <c r="H139" s="1" t="n">
        <v>15</v>
      </c>
      <c r="I139" s="1" t="n">
        <v>1527</v>
      </c>
      <c r="J139" s="1" t="n">
        <v>300</v>
      </c>
    </row>
    <row r="140" customFormat="false" ht="15" hidden="false" customHeight="true" outlineLevel="0" collapsed="false">
      <c r="A140" s="1" t="s">
        <v>90</v>
      </c>
      <c r="B140" s="1" t="s">
        <v>61</v>
      </c>
      <c r="C140" s="1" t="s">
        <v>87</v>
      </c>
      <c r="D140" s="1" t="n">
        <v>2</v>
      </c>
      <c r="E140" s="1" t="n">
        <v>6</v>
      </c>
      <c r="F140" s="1" t="s">
        <v>47</v>
      </c>
      <c r="G140" s="1" t="s">
        <v>48</v>
      </c>
      <c r="H140" s="1" t="n">
        <v>24</v>
      </c>
      <c r="I140" s="1" t="n">
        <v>2115.36</v>
      </c>
      <c r="J140" s="1" t="n">
        <v>300</v>
      </c>
    </row>
    <row r="141" customFormat="false" ht="15" hidden="false" customHeight="true" outlineLevel="0" collapsed="false">
      <c r="A141" s="1" t="s">
        <v>90</v>
      </c>
      <c r="B141" s="1" t="s">
        <v>61</v>
      </c>
      <c r="C141" s="1" t="s">
        <v>87</v>
      </c>
      <c r="D141" s="1" t="n">
        <v>2</v>
      </c>
      <c r="E141" s="1" t="n">
        <v>6</v>
      </c>
      <c r="F141" s="1" t="s">
        <v>49</v>
      </c>
      <c r="G141" s="1" t="s">
        <v>49</v>
      </c>
      <c r="H141" s="1" t="n">
        <v>26</v>
      </c>
      <c r="I141" s="1" t="n">
        <v>2153.06</v>
      </c>
      <c r="J141" s="1" t="n">
        <v>300</v>
      </c>
    </row>
    <row r="142" customFormat="false" ht="15" hidden="false" customHeight="true" outlineLevel="0" collapsed="false">
      <c r="A142" s="1" t="s">
        <v>91</v>
      </c>
      <c r="B142" s="1" t="s">
        <v>41</v>
      </c>
      <c r="C142" s="1" t="s">
        <v>87</v>
      </c>
      <c r="D142" s="1" t="n">
        <v>2</v>
      </c>
      <c r="E142" s="1" t="n">
        <v>6</v>
      </c>
      <c r="F142" s="1" t="s">
        <v>43</v>
      </c>
      <c r="G142" s="1" t="s">
        <v>44</v>
      </c>
      <c r="H142" s="1" t="n">
        <v>82</v>
      </c>
      <c r="I142" s="1" t="n">
        <v>9581.7</v>
      </c>
      <c r="J142" s="1" t="n">
        <v>300</v>
      </c>
    </row>
    <row r="143" customFormat="false" ht="15" hidden="false" customHeight="true" outlineLevel="0" collapsed="false">
      <c r="A143" s="1" t="s">
        <v>91</v>
      </c>
      <c r="B143" s="1" t="s">
        <v>41</v>
      </c>
      <c r="C143" s="1" t="s">
        <v>87</v>
      </c>
      <c r="D143" s="1" t="n">
        <v>2</v>
      </c>
      <c r="E143" s="1" t="n">
        <v>6</v>
      </c>
      <c r="F143" s="1" t="s">
        <v>45</v>
      </c>
      <c r="G143" s="1" t="s">
        <v>46</v>
      </c>
      <c r="H143" s="1" t="n">
        <v>19</v>
      </c>
      <c r="I143" s="1" t="n">
        <v>1742.11</v>
      </c>
      <c r="J143" s="1" t="n">
        <v>300</v>
      </c>
    </row>
    <row r="144" customFormat="false" ht="15" hidden="false" customHeight="true" outlineLevel="0" collapsed="false">
      <c r="A144" s="1" t="s">
        <v>91</v>
      </c>
      <c r="B144" s="1" t="s">
        <v>41</v>
      </c>
      <c r="C144" s="1" t="s">
        <v>87</v>
      </c>
      <c r="D144" s="1" t="n">
        <v>2</v>
      </c>
      <c r="E144" s="1" t="n">
        <v>6</v>
      </c>
      <c r="F144" s="1" t="s">
        <v>47</v>
      </c>
      <c r="G144" s="1" t="s">
        <v>48</v>
      </c>
      <c r="H144" s="1" t="n">
        <v>28</v>
      </c>
      <c r="I144" s="1" t="n">
        <v>2260.16</v>
      </c>
      <c r="J144" s="1" t="n">
        <v>300</v>
      </c>
    </row>
    <row r="145" customFormat="false" ht="15" hidden="false" customHeight="true" outlineLevel="0" collapsed="false">
      <c r="A145" s="1" t="s">
        <v>91</v>
      </c>
      <c r="B145" s="1" t="s">
        <v>41</v>
      </c>
      <c r="C145" s="1" t="s">
        <v>87</v>
      </c>
      <c r="D145" s="1" t="n">
        <v>2</v>
      </c>
      <c r="E145" s="1" t="n">
        <v>6</v>
      </c>
      <c r="F145" s="1" t="s">
        <v>49</v>
      </c>
      <c r="G145" s="1" t="s">
        <v>49</v>
      </c>
      <c r="H145" s="1" t="n">
        <v>25</v>
      </c>
      <c r="I145" s="1" t="n">
        <v>2194</v>
      </c>
      <c r="J145" s="1" t="n">
        <v>300</v>
      </c>
    </row>
    <row r="146" customFormat="false" ht="15" hidden="false" customHeight="true" outlineLevel="0" collapsed="false">
      <c r="A146" s="1" t="s">
        <v>92</v>
      </c>
      <c r="B146" s="1" t="s">
        <v>51</v>
      </c>
      <c r="C146" s="1" t="s">
        <v>87</v>
      </c>
      <c r="D146" s="1" t="n">
        <v>2</v>
      </c>
      <c r="E146" s="1" t="n">
        <v>6</v>
      </c>
      <c r="F146" s="1" t="s">
        <v>43</v>
      </c>
      <c r="G146" s="1" t="s">
        <v>44</v>
      </c>
      <c r="H146" s="1" t="n">
        <v>83</v>
      </c>
      <c r="I146" s="1" t="n">
        <v>8979.77</v>
      </c>
      <c r="J146" s="1" t="n">
        <v>300</v>
      </c>
    </row>
    <row r="147" customFormat="false" ht="15" hidden="false" customHeight="true" outlineLevel="0" collapsed="false">
      <c r="A147" s="1" t="s">
        <v>92</v>
      </c>
      <c r="B147" s="1" t="s">
        <v>51</v>
      </c>
      <c r="C147" s="1" t="s">
        <v>87</v>
      </c>
      <c r="D147" s="1" t="n">
        <v>2</v>
      </c>
      <c r="E147" s="1" t="n">
        <v>6</v>
      </c>
      <c r="F147" s="1" t="s">
        <v>45</v>
      </c>
      <c r="G147" s="1" t="s">
        <v>46</v>
      </c>
      <c r="H147" s="1" t="n">
        <v>17</v>
      </c>
      <c r="I147" s="1" t="n">
        <v>1634.04</v>
      </c>
      <c r="J147" s="1" t="n">
        <v>300</v>
      </c>
    </row>
    <row r="148" customFormat="false" ht="15" hidden="false" customHeight="true" outlineLevel="0" collapsed="false">
      <c r="A148" s="1" t="s">
        <v>92</v>
      </c>
      <c r="B148" s="1" t="s">
        <v>51</v>
      </c>
      <c r="C148" s="1" t="s">
        <v>87</v>
      </c>
      <c r="D148" s="1" t="n">
        <v>2</v>
      </c>
      <c r="E148" s="1" t="n">
        <v>6</v>
      </c>
      <c r="F148" s="1" t="s">
        <v>47</v>
      </c>
      <c r="G148" s="1" t="s">
        <v>48</v>
      </c>
      <c r="H148" s="1" t="n">
        <v>23</v>
      </c>
      <c r="I148" s="1" t="n">
        <v>2210.07</v>
      </c>
      <c r="J148" s="1" t="n">
        <v>300</v>
      </c>
    </row>
    <row r="149" customFormat="false" ht="15" hidden="false" customHeight="true" outlineLevel="0" collapsed="false">
      <c r="A149" s="1" t="s">
        <v>92</v>
      </c>
      <c r="B149" s="1" t="s">
        <v>51</v>
      </c>
      <c r="C149" s="1" t="s">
        <v>87</v>
      </c>
      <c r="D149" s="1" t="n">
        <v>2</v>
      </c>
      <c r="E149" s="1" t="n">
        <v>6</v>
      </c>
      <c r="F149" s="1" t="s">
        <v>49</v>
      </c>
      <c r="G149" s="1" t="s">
        <v>49</v>
      </c>
      <c r="H149" s="1" t="n">
        <v>26</v>
      </c>
      <c r="I149" s="1" t="n">
        <v>2112.24</v>
      </c>
      <c r="J149" s="1" t="n">
        <v>300</v>
      </c>
    </row>
    <row r="150" customFormat="false" ht="15" hidden="false" customHeight="true" outlineLevel="0" collapsed="false">
      <c r="A150" s="1" t="s">
        <v>93</v>
      </c>
      <c r="B150" s="1" t="s">
        <v>53</v>
      </c>
      <c r="C150" s="1" t="s">
        <v>87</v>
      </c>
      <c r="D150" s="1" t="n">
        <v>2</v>
      </c>
      <c r="E150" s="1" t="n">
        <v>6</v>
      </c>
      <c r="F150" s="1" t="s">
        <v>43</v>
      </c>
      <c r="G150" s="1" t="s">
        <v>44</v>
      </c>
      <c r="H150" s="1" t="n">
        <v>87</v>
      </c>
      <c r="I150" s="1" t="n">
        <v>9958.02</v>
      </c>
      <c r="J150" s="1" t="n">
        <v>300</v>
      </c>
    </row>
    <row r="151" customFormat="false" ht="15" hidden="false" customHeight="true" outlineLevel="0" collapsed="false">
      <c r="A151" s="1" t="s">
        <v>93</v>
      </c>
      <c r="B151" s="1" t="s">
        <v>53</v>
      </c>
      <c r="C151" s="1" t="s">
        <v>87</v>
      </c>
      <c r="D151" s="1" t="n">
        <v>2</v>
      </c>
      <c r="E151" s="1" t="n">
        <v>6</v>
      </c>
      <c r="F151" s="1" t="s">
        <v>45</v>
      </c>
      <c r="G151" s="1" t="s">
        <v>46</v>
      </c>
      <c r="H151" s="1" t="n">
        <v>18</v>
      </c>
      <c r="I151" s="1" t="n">
        <v>1850.22</v>
      </c>
      <c r="J151" s="1" t="n">
        <v>300</v>
      </c>
    </row>
    <row r="152" customFormat="false" ht="15" hidden="false" customHeight="true" outlineLevel="0" collapsed="false">
      <c r="A152" s="1" t="s">
        <v>93</v>
      </c>
      <c r="B152" s="1" t="s">
        <v>53</v>
      </c>
      <c r="C152" s="1" t="s">
        <v>87</v>
      </c>
      <c r="D152" s="1" t="n">
        <v>2</v>
      </c>
      <c r="E152" s="1" t="n">
        <v>6</v>
      </c>
      <c r="F152" s="1" t="s">
        <v>47</v>
      </c>
      <c r="G152" s="1" t="s">
        <v>48</v>
      </c>
      <c r="H152" s="1" t="n">
        <v>22</v>
      </c>
      <c r="I152" s="1" t="n">
        <v>1943.92</v>
      </c>
      <c r="J152" s="1" t="n">
        <v>300</v>
      </c>
    </row>
    <row r="153" customFormat="false" ht="15" hidden="false" customHeight="true" outlineLevel="0" collapsed="false">
      <c r="A153" s="1" t="s">
        <v>93</v>
      </c>
      <c r="B153" s="1" t="s">
        <v>53</v>
      </c>
      <c r="C153" s="1" t="s">
        <v>87</v>
      </c>
      <c r="D153" s="1" t="n">
        <v>2</v>
      </c>
      <c r="E153" s="1" t="n">
        <v>6</v>
      </c>
      <c r="F153" s="1" t="s">
        <v>49</v>
      </c>
      <c r="G153" s="1" t="s">
        <v>49</v>
      </c>
      <c r="H153" s="1" t="n">
        <v>27</v>
      </c>
      <c r="I153" s="1" t="n">
        <v>2372.49</v>
      </c>
      <c r="J153" s="1" t="n">
        <v>300</v>
      </c>
    </row>
    <row r="154" customFormat="false" ht="15" hidden="false" customHeight="true" outlineLevel="0" collapsed="false">
      <c r="A154" s="1" t="s">
        <v>94</v>
      </c>
      <c r="B154" s="1" t="s">
        <v>55</v>
      </c>
      <c r="C154" s="1" t="s">
        <v>87</v>
      </c>
      <c r="D154" s="1" t="n">
        <v>2</v>
      </c>
      <c r="E154" s="1" t="n">
        <v>6</v>
      </c>
      <c r="F154" s="1" t="s">
        <v>43</v>
      </c>
      <c r="G154" s="1" t="s">
        <v>44</v>
      </c>
      <c r="H154" s="1" t="n">
        <v>15</v>
      </c>
      <c r="I154" s="1" t="n">
        <v>1697.7</v>
      </c>
      <c r="J154" s="1" t="n">
        <v>300</v>
      </c>
    </row>
    <row r="155" customFormat="false" ht="15" hidden="false" customHeight="true" outlineLevel="0" collapsed="false">
      <c r="A155" s="1" t="s">
        <v>94</v>
      </c>
      <c r="B155" s="1" t="s">
        <v>55</v>
      </c>
      <c r="C155" s="1" t="s">
        <v>87</v>
      </c>
      <c r="D155" s="1" t="n">
        <v>2</v>
      </c>
      <c r="E155" s="1" t="n">
        <v>6</v>
      </c>
      <c r="F155" s="1" t="s">
        <v>45</v>
      </c>
      <c r="G155" s="1" t="s">
        <v>46</v>
      </c>
      <c r="H155" s="1" t="n">
        <v>52</v>
      </c>
      <c r="I155" s="1" t="n">
        <v>4968.08</v>
      </c>
      <c r="J155" s="1" t="n">
        <v>300</v>
      </c>
    </row>
    <row r="156" customFormat="false" ht="15" hidden="false" customHeight="true" outlineLevel="0" collapsed="false">
      <c r="A156" s="1" t="s">
        <v>94</v>
      </c>
      <c r="B156" s="1" t="s">
        <v>55</v>
      </c>
      <c r="C156" s="1" t="s">
        <v>87</v>
      </c>
      <c r="D156" s="1" t="n">
        <v>2</v>
      </c>
      <c r="E156" s="1" t="n">
        <v>6</v>
      </c>
      <c r="F156" s="1" t="s">
        <v>47</v>
      </c>
      <c r="G156" s="1" t="s">
        <v>48</v>
      </c>
      <c r="H156" s="1" t="n">
        <v>13</v>
      </c>
      <c r="I156" s="1" t="n">
        <v>1174.16</v>
      </c>
      <c r="J156" s="1" t="n">
        <v>300</v>
      </c>
    </row>
    <row r="157" customFormat="false" ht="15" hidden="false" customHeight="true" outlineLevel="0" collapsed="false">
      <c r="A157" s="1" t="s">
        <v>94</v>
      </c>
      <c r="B157" s="1" t="s">
        <v>55</v>
      </c>
      <c r="C157" s="1" t="s">
        <v>87</v>
      </c>
      <c r="D157" s="1" t="n">
        <v>2</v>
      </c>
      <c r="E157" s="1" t="n">
        <v>6</v>
      </c>
      <c r="F157" s="1" t="s">
        <v>49</v>
      </c>
      <c r="G157" s="1" t="s">
        <v>49</v>
      </c>
      <c r="H157" s="1" t="n">
        <v>32</v>
      </c>
      <c r="I157" s="1" t="n">
        <v>2891.2</v>
      </c>
      <c r="J157" s="1" t="n">
        <v>300</v>
      </c>
    </row>
    <row r="158" customFormat="false" ht="15" hidden="false" customHeight="true" outlineLevel="0" collapsed="false">
      <c r="A158" s="1" t="s">
        <v>95</v>
      </c>
      <c r="B158" s="1" t="s">
        <v>57</v>
      </c>
      <c r="C158" s="1" t="s">
        <v>87</v>
      </c>
      <c r="D158" s="1" t="n">
        <v>2</v>
      </c>
      <c r="E158" s="1" t="n">
        <v>6</v>
      </c>
      <c r="F158" s="1" t="s">
        <v>43</v>
      </c>
      <c r="G158" s="1" t="s">
        <v>44</v>
      </c>
      <c r="H158" s="1" t="n">
        <v>16</v>
      </c>
      <c r="I158" s="1" t="n">
        <v>1885.92</v>
      </c>
      <c r="J158" s="1" t="n">
        <v>300</v>
      </c>
    </row>
    <row r="159" customFormat="false" ht="15" hidden="false" customHeight="true" outlineLevel="0" collapsed="false">
      <c r="A159" s="1" t="s">
        <v>95</v>
      </c>
      <c r="B159" s="1" t="s">
        <v>57</v>
      </c>
      <c r="C159" s="1" t="s">
        <v>87</v>
      </c>
      <c r="D159" s="1" t="n">
        <v>2</v>
      </c>
      <c r="E159" s="1" t="n">
        <v>6</v>
      </c>
      <c r="F159" s="1" t="s">
        <v>45</v>
      </c>
      <c r="G159" s="1" t="s">
        <v>46</v>
      </c>
      <c r="H159" s="1" t="n">
        <v>52</v>
      </c>
      <c r="I159" s="1" t="n">
        <v>5157.36</v>
      </c>
      <c r="J159" s="1" t="n">
        <v>300</v>
      </c>
    </row>
    <row r="160" customFormat="false" ht="15" hidden="false" customHeight="true" outlineLevel="0" collapsed="false">
      <c r="A160" s="1" t="s">
        <v>95</v>
      </c>
      <c r="B160" s="1" t="s">
        <v>57</v>
      </c>
      <c r="C160" s="1" t="s">
        <v>87</v>
      </c>
      <c r="D160" s="1" t="n">
        <v>2</v>
      </c>
      <c r="E160" s="1" t="n">
        <v>6</v>
      </c>
      <c r="F160" s="1" t="s">
        <v>47</v>
      </c>
      <c r="G160" s="1" t="s">
        <v>48</v>
      </c>
      <c r="H160" s="1" t="n">
        <v>14</v>
      </c>
      <c r="I160" s="1" t="n">
        <v>1256.22</v>
      </c>
      <c r="J160" s="1" t="n">
        <v>300</v>
      </c>
    </row>
    <row r="161" customFormat="false" ht="15" hidden="false" customHeight="true" outlineLevel="0" collapsed="false">
      <c r="A161" s="1" t="s">
        <v>95</v>
      </c>
      <c r="B161" s="1" t="s">
        <v>57</v>
      </c>
      <c r="C161" s="1" t="s">
        <v>87</v>
      </c>
      <c r="D161" s="1" t="n">
        <v>2</v>
      </c>
      <c r="E161" s="1" t="n">
        <v>6</v>
      </c>
      <c r="F161" s="1" t="s">
        <v>49</v>
      </c>
      <c r="G161" s="1" t="s">
        <v>49</v>
      </c>
      <c r="H161" s="1" t="n">
        <v>33</v>
      </c>
      <c r="I161" s="1" t="n">
        <v>2775.3</v>
      </c>
      <c r="J161" s="1" t="n">
        <v>300</v>
      </c>
    </row>
    <row r="162" customFormat="false" ht="15" hidden="false" customHeight="true" outlineLevel="0" collapsed="false">
      <c r="A162" s="1" t="s">
        <v>96</v>
      </c>
      <c r="B162" s="1" t="s">
        <v>59</v>
      </c>
      <c r="C162" s="1" t="s">
        <v>87</v>
      </c>
      <c r="D162" s="1" t="n">
        <v>2</v>
      </c>
      <c r="E162" s="1" t="n">
        <v>7</v>
      </c>
      <c r="F162" s="1" t="s">
        <v>43</v>
      </c>
      <c r="G162" s="1" t="s">
        <v>44</v>
      </c>
      <c r="H162" s="1" t="n">
        <v>81</v>
      </c>
      <c r="I162" s="1" t="n">
        <v>9428.4</v>
      </c>
      <c r="J162" s="1" t="n">
        <v>300</v>
      </c>
    </row>
    <row r="163" customFormat="false" ht="15" hidden="false" customHeight="true" outlineLevel="0" collapsed="false">
      <c r="A163" s="1" t="s">
        <v>96</v>
      </c>
      <c r="B163" s="1" t="s">
        <v>59</v>
      </c>
      <c r="C163" s="1" t="s">
        <v>87</v>
      </c>
      <c r="D163" s="1" t="n">
        <v>2</v>
      </c>
      <c r="E163" s="1" t="n">
        <v>7</v>
      </c>
      <c r="F163" s="1" t="s">
        <v>45</v>
      </c>
      <c r="G163" s="1" t="s">
        <v>46</v>
      </c>
      <c r="H163" s="1" t="n">
        <v>16</v>
      </c>
      <c r="I163" s="1" t="n">
        <v>1783.84</v>
      </c>
      <c r="J163" s="1" t="n">
        <v>300</v>
      </c>
    </row>
    <row r="164" customFormat="false" ht="15" hidden="false" customHeight="true" outlineLevel="0" collapsed="false">
      <c r="A164" s="1" t="s">
        <v>96</v>
      </c>
      <c r="B164" s="1" t="s">
        <v>59</v>
      </c>
      <c r="C164" s="1" t="s">
        <v>87</v>
      </c>
      <c r="D164" s="1" t="n">
        <v>2</v>
      </c>
      <c r="E164" s="1" t="n">
        <v>7</v>
      </c>
      <c r="F164" s="1" t="s">
        <v>47</v>
      </c>
      <c r="G164" s="1" t="s">
        <v>48</v>
      </c>
      <c r="H164" s="1" t="n">
        <v>22</v>
      </c>
      <c r="I164" s="1" t="n">
        <v>1864.94</v>
      </c>
      <c r="J164" s="1" t="n">
        <v>300</v>
      </c>
    </row>
    <row r="165" customFormat="false" ht="15" hidden="false" customHeight="true" outlineLevel="0" collapsed="false">
      <c r="A165" s="1" t="s">
        <v>96</v>
      </c>
      <c r="B165" s="1" t="s">
        <v>59</v>
      </c>
      <c r="C165" s="1" t="s">
        <v>87</v>
      </c>
      <c r="D165" s="1" t="n">
        <v>2</v>
      </c>
      <c r="E165" s="1" t="n">
        <v>7</v>
      </c>
      <c r="F165" s="1" t="s">
        <v>49</v>
      </c>
      <c r="G165" s="1" t="s">
        <v>49</v>
      </c>
      <c r="H165" s="1" t="n">
        <v>28</v>
      </c>
      <c r="I165" s="1" t="n">
        <v>2486.12</v>
      </c>
      <c r="J165" s="1" t="n">
        <v>300</v>
      </c>
    </row>
    <row r="166" customFormat="false" ht="15" hidden="false" customHeight="true" outlineLevel="0" collapsed="false">
      <c r="A166" s="1" t="s">
        <v>97</v>
      </c>
      <c r="B166" s="1" t="s">
        <v>61</v>
      </c>
      <c r="C166" s="1" t="s">
        <v>87</v>
      </c>
      <c r="D166" s="1" t="n">
        <v>2</v>
      </c>
      <c r="E166" s="1" t="n">
        <v>7</v>
      </c>
      <c r="F166" s="1" t="s">
        <v>43</v>
      </c>
      <c r="G166" s="1" t="s">
        <v>44</v>
      </c>
      <c r="H166" s="1" t="n">
        <v>85</v>
      </c>
      <c r="I166" s="1" t="n">
        <v>9912.7</v>
      </c>
      <c r="J166" s="1" t="n">
        <v>300</v>
      </c>
    </row>
    <row r="167" customFormat="false" ht="15" hidden="false" customHeight="true" outlineLevel="0" collapsed="false">
      <c r="A167" s="1" t="s">
        <v>97</v>
      </c>
      <c r="B167" s="1" t="s">
        <v>61</v>
      </c>
      <c r="C167" s="1" t="s">
        <v>87</v>
      </c>
      <c r="D167" s="1" t="n">
        <v>2</v>
      </c>
      <c r="E167" s="1" t="n">
        <v>7</v>
      </c>
      <c r="F167" s="1" t="s">
        <v>45</v>
      </c>
      <c r="G167" s="1" t="s">
        <v>46</v>
      </c>
      <c r="H167" s="1" t="n">
        <v>17</v>
      </c>
      <c r="I167" s="1" t="n">
        <v>1593.24</v>
      </c>
      <c r="J167" s="1" t="n">
        <v>300</v>
      </c>
    </row>
    <row r="168" customFormat="false" ht="15" hidden="false" customHeight="true" outlineLevel="0" collapsed="false">
      <c r="A168" s="1" t="s">
        <v>97</v>
      </c>
      <c r="B168" s="1" t="s">
        <v>61</v>
      </c>
      <c r="C168" s="1" t="s">
        <v>87</v>
      </c>
      <c r="D168" s="1" t="n">
        <v>2</v>
      </c>
      <c r="E168" s="1" t="n">
        <v>7</v>
      </c>
      <c r="F168" s="1" t="s">
        <v>47</v>
      </c>
      <c r="G168" s="1" t="s">
        <v>48</v>
      </c>
      <c r="H168" s="1" t="n">
        <v>24</v>
      </c>
      <c r="I168" s="1" t="n">
        <v>2105.28</v>
      </c>
      <c r="J168" s="1" t="n">
        <v>300</v>
      </c>
    </row>
    <row r="169" customFormat="false" ht="15" hidden="false" customHeight="true" outlineLevel="0" collapsed="false">
      <c r="A169" s="1" t="s">
        <v>97</v>
      </c>
      <c r="B169" s="1" t="s">
        <v>61</v>
      </c>
      <c r="C169" s="1" t="s">
        <v>87</v>
      </c>
      <c r="D169" s="1" t="n">
        <v>2</v>
      </c>
      <c r="E169" s="1" t="n">
        <v>7</v>
      </c>
      <c r="F169" s="1" t="s">
        <v>49</v>
      </c>
      <c r="G169" s="1" t="s">
        <v>49</v>
      </c>
      <c r="H169" s="1" t="n">
        <v>28</v>
      </c>
      <c r="I169" s="1" t="n">
        <v>2352.56</v>
      </c>
      <c r="J169" s="1" t="n">
        <v>300</v>
      </c>
    </row>
    <row r="170" customFormat="false" ht="15" hidden="false" customHeight="true" outlineLevel="0" collapsed="false">
      <c r="A170" s="1" t="s">
        <v>98</v>
      </c>
      <c r="B170" s="1" t="s">
        <v>41</v>
      </c>
      <c r="C170" s="1" t="s">
        <v>87</v>
      </c>
      <c r="D170" s="1" t="n">
        <v>2</v>
      </c>
      <c r="E170" s="1" t="n">
        <v>7</v>
      </c>
      <c r="F170" s="1" t="s">
        <v>43</v>
      </c>
      <c r="G170" s="1" t="s">
        <v>44</v>
      </c>
      <c r="H170" s="1" t="n">
        <v>75</v>
      </c>
      <c r="I170" s="1" t="n">
        <v>8266.5</v>
      </c>
      <c r="J170" s="1" t="n">
        <v>300</v>
      </c>
    </row>
    <row r="171" customFormat="false" ht="15" hidden="false" customHeight="true" outlineLevel="0" collapsed="false">
      <c r="A171" s="1" t="s">
        <v>98</v>
      </c>
      <c r="B171" s="1" t="s">
        <v>41</v>
      </c>
      <c r="C171" s="1" t="s">
        <v>87</v>
      </c>
      <c r="D171" s="1" t="n">
        <v>2</v>
      </c>
      <c r="E171" s="1" t="n">
        <v>7</v>
      </c>
      <c r="F171" s="1" t="s">
        <v>45</v>
      </c>
      <c r="G171" s="1" t="s">
        <v>46</v>
      </c>
      <c r="H171" s="1" t="n">
        <v>18</v>
      </c>
      <c r="I171" s="1" t="n">
        <v>1722.6</v>
      </c>
      <c r="J171" s="1" t="n">
        <v>300</v>
      </c>
    </row>
    <row r="172" customFormat="false" ht="15" hidden="false" customHeight="true" outlineLevel="0" collapsed="false">
      <c r="A172" s="1" t="s">
        <v>98</v>
      </c>
      <c r="B172" s="1" t="s">
        <v>41</v>
      </c>
      <c r="C172" s="1" t="s">
        <v>87</v>
      </c>
      <c r="D172" s="1" t="n">
        <v>2</v>
      </c>
      <c r="E172" s="1" t="n">
        <v>7</v>
      </c>
      <c r="F172" s="1" t="s">
        <v>47</v>
      </c>
      <c r="G172" s="1" t="s">
        <v>48</v>
      </c>
      <c r="H172" s="1" t="n">
        <v>22</v>
      </c>
      <c r="I172" s="1" t="n">
        <v>2040.94</v>
      </c>
      <c r="J172" s="1" t="n">
        <v>300</v>
      </c>
    </row>
    <row r="173" customFormat="false" ht="15" hidden="false" customHeight="true" outlineLevel="0" collapsed="false">
      <c r="A173" s="1" t="s">
        <v>98</v>
      </c>
      <c r="B173" s="1" t="s">
        <v>41</v>
      </c>
      <c r="C173" s="1" t="s">
        <v>87</v>
      </c>
      <c r="D173" s="1" t="n">
        <v>2</v>
      </c>
      <c r="E173" s="1" t="n">
        <v>7</v>
      </c>
      <c r="F173" s="1" t="s">
        <v>49</v>
      </c>
      <c r="G173" s="1" t="s">
        <v>49</v>
      </c>
      <c r="H173" s="1" t="n">
        <v>26</v>
      </c>
      <c r="I173" s="1" t="n">
        <v>2136.94</v>
      </c>
      <c r="J173" s="1" t="n">
        <v>300</v>
      </c>
    </row>
    <row r="174" customFormat="false" ht="15" hidden="false" customHeight="true" outlineLevel="0" collapsed="false">
      <c r="A174" s="1" t="s">
        <v>99</v>
      </c>
      <c r="B174" s="1" t="s">
        <v>51</v>
      </c>
      <c r="C174" s="1" t="s">
        <v>87</v>
      </c>
      <c r="D174" s="1" t="n">
        <v>2</v>
      </c>
      <c r="E174" s="1" t="n">
        <v>7</v>
      </c>
      <c r="F174" s="1" t="s">
        <v>43</v>
      </c>
      <c r="G174" s="1" t="s">
        <v>44</v>
      </c>
      <c r="H174" s="1" t="n">
        <v>77</v>
      </c>
      <c r="I174" s="1" t="n">
        <v>8774.15</v>
      </c>
      <c r="J174" s="1" t="n">
        <v>300</v>
      </c>
    </row>
    <row r="175" customFormat="false" ht="15" hidden="false" customHeight="true" outlineLevel="0" collapsed="false">
      <c r="A175" s="1" t="s">
        <v>99</v>
      </c>
      <c r="B175" s="1" t="s">
        <v>51</v>
      </c>
      <c r="C175" s="1" t="s">
        <v>87</v>
      </c>
      <c r="D175" s="1" t="n">
        <v>2</v>
      </c>
      <c r="E175" s="1" t="n">
        <v>7</v>
      </c>
      <c r="F175" s="1" t="s">
        <v>45</v>
      </c>
      <c r="G175" s="1" t="s">
        <v>46</v>
      </c>
      <c r="H175" s="1" t="n">
        <v>15</v>
      </c>
      <c r="I175" s="1" t="n">
        <v>1360.35</v>
      </c>
      <c r="J175" s="1" t="n">
        <v>300</v>
      </c>
    </row>
    <row r="176" customFormat="false" ht="15" hidden="false" customHeight="true" outlineLevel="0" collapsed="false">
      <c r="A176" s="1" t="s">
        <v>99</v>
      </c>
      <c r="B176" s="1" t="s">
        <v>51</v>
      </c>
      <c r="C176" s="1" t="s">
        <v>87</v>
      </c>
      <c r="D176" s="1" t="n">
        <v>2</v>
      </c>
      <c r="E176" s="1" t="n">
        <v>7</v>
      </c>
      <c r="F176" s="1" t="s">
        <v>47</v>
      </c>
      <c r="G176" s="1" t="s">
        <v>48</v>
      </c>
      <c r="H176" s="1" t="n">
        <v>22</v>
      </c>
      <c r="I176" s="1" t="n">
        <v>1985.72</v>
      </c>
      <c r="J176" s="1" t="n">
        <v>300</v>
      </c>
    </row>
    <row r="177" customFormat="false" ht="15" hidden="false" customHeight="true" outlineLevel="0" collapsed="false">
      <c r="A177" s="1" t="s">
        <v>99</v>
      </c>
      <c r="B177" s="1" t="s">
        <v>51</v>
      </c>
      <c r="C177" s="1" t="s">
        <v>87</v>
      </c>
      <c r="D177" s="1" t="n">
        <v>2</v>
      </c>
      <c r="E177" s="1" t="n">
        <v>7</v>
      </c>
      <c r="F177" s="1" t="s">
        <v>49</v>
      </c>
      <c r="G177" s="1" t="s">
        <v>49</v>
      </c>
      <c r="H177" s="1" t="n">
        <v>26</v>
      </c>
      <c r="I177" s="1" t="n">
        <v>2399.02</v>
      </c>
      <c r="J177" s="1" t="n">
        <v>300</v>
      </c>
    </row>
    <row r="178" customFormat="false" ht="15" hidden="false" customHeight="true" outlineLevel="0" collapsed="false">
      <c r="A178" s="1" t="s">
        <v>100</v>
      </c>
      <c r="B178" s="1" t="s">
        <v>53</v>
      </c>
      <c r="C178" s="1" t="s">
        <v>87</v>
      </c>
      <c r="D178" s="1" t="n">
        <v>2</v>
      </c>
      <c r="E178" s="1" t="n">
        <v>7</v>
      </c>
      <c r="F178" s="1" t="s">
        <v>43</v>
      </c>
      <c r="G178" s="1" t="s">
        <v>44</v>
      </c>
      <c r="H178" s="1" t="n">
        <v>87</v>
      </c>
      <c r="I178" s="1" t="n">
        <v>9683.97</v>
      </c>
      <c r="J178" s="1" t="n">
        <v>300</v>
      </c>
    </row>
    <row r="179" customFormat="false" ht="15" hidden="false" customHeight="true" outlineLevel="0" collapsed="false">
      <c r="A179" s="1" t="s">
        <v>100</v>
      </c>
      <c r="B179" s="1" t="s">
        <v>53</v>
      </c>
      <c r="C179" s="1" t="s">
        <v>87</v>
      </c>
      <c r="D179" s="1" t="n">
        <v>2</v>
      </c>
      <c r="E179" s="1" t="n">
        <v>7</v>
      </c>
      <c r="F179" s="1" t="s">
        <v>45</v>
      </c>
      <c r="G179" s="1" t="s">
        <v>46</v>
      </c>
      <c r="H179" s="1" t="n">
        <v>17</v>
      </c>
      <c r="I179" s="1" t="n">
        <v>1582.53</v>
      </c>
      <c r="J179" s="1" t="n">
        <v>300</v>
      </c>
    </row>
    <row r="180" customFormat="false" ht="15" hidden="false" customHeight="true" outlineLevel="0" collapsed="false">
      <c r="A180" s="1" t="s">
        <v>100</v>
      </c>
      <c r="B180" s="1" t="s">
        <v>53</v>
      </c>
      <c r="C180" s="1" t="s">
        <v>87</v>
      </c>
      <c r="D180" s="1" t="n">
        <v>2</v>
      </c>
      <c r="E180" s="1" t="n">
        <v>7</v>
      </c>
      <c r="F180" s="1" t="s">
        <v>47</v>
      </c>
      <c r="G180" s="1" t="s">
        <v>48</v>
      </c>
      <c r="H180" s="1" t="n">
        <v>24</v>
      </c>
      <c r="I180" s="1" t="n">
        <v>2156.4</v>
      </c>
      <c r="J180" s="1" t="n">
        <v>300</v>
      </c>
    </row>
    <row r="181" customFormat="false" ht="15" hidden="false" customHeight="true" outlineLevel="0" collapsed="false">
      <c r="A181" s="1" t="s">
        <v>100</v>
      </c>
      <c r="B181" s="1" t="s">
        <v>53</v>
      </c>
      <c r="C181" s="1" t="s">
        <v>87</v>
      </c>
      <c r="D181" s="1" t="n">
        <v>2</v>
      </c>
      <c r="E181" s="1" t="n">
        <v>7</v>
      </c>
      <c r="F181" s="1" t="s">
        <v>49</v>
      </c>
      <c r="G181" s="1" t="s">
        <v>49</v>
      </c>
      <c r="H181" s="1" t="n">
        <v>26</v>
      </c>
      <c r="I181" s="1" t="n">
        <v>2094.56</v>
      </c>
      <c r="J181" s="1" t="n">
        <v>300</v>
      </c>
    </row>
    <row r="182" customFormat="false" ht="15" hidden="false" customHeight="true" outlineLevel="0" collapsed="false">
      <c r="A182" s="1" t="s">
        <v>101</v>
      </c>
      <c r="B182" s="1" t="s">
        <v>55</v>
      </c>
      <c r="C182" s="1" t="s">
        <v>87</v>
      </c>
      <c r="D182" s="1" t="n">
        <v>2</v>
      </c>
      <c r="E182" s="1" t="n">
        <v>7</v>
      </c>
      <c r="F182" s="1" t="s">
        <v>43</v>
      </c>
      <c r="G182" s="1" t="s">
        <v>44</v>
      </c>
      <c r="H182" s="1" t="n">
        <v>16</v>
      </c>
      <c r="I182" s="1" t="n">
        <v>1963.52</v>
      </c>
      <c r="J182" s="1" t="n">
        <v>300</v>
      </c>
    </row>
    <row r="183" customFormat="false" ht="15" hidden="false" customHeight="true" outlineLevel="0" collapsed="false">
      <c r="A183" s="1" t="s">
        <v>101</v>
      </c>
      <c r="B183" s="1" t="s">
        <v>55</v>
      </c>
      <c r="C183" s="1" t="s">
        <v>87</v>
      </c>
      <c r="D183" s="1" t="n">
        <v>2</v>
      </c>
      <c r="E183" s="1" t="n">
        <v>7</v>
      </c>
      <c r="F183" s="1" t="s">
        <v>45</v>
      </c>
      <c r="G183" s="1" t="s">
        <v>46</v>
      </c>
      <c r="H183" s="1" t="n">
        <v>46</v>
      </c>
      <c r="I183" s="1" t="n">
        <v>4666.24</v>
      </c>
      <c r="J183" s="1" t="n">
        <v>300</v>
      </c>
    </row>
    <row r="184" customFormat="false" ht="15" hidden="false" customHeight="true" outlineLevel="0" collapsed="false">
      <c r="A184" s="1" t="s">
        <v>101</v>
      </c>
      <c r="B184" s="1" t="s">
        <v>55</v>
      </c>
      <c r="C184" s="1" t="s">
        <v>87</v>
      </c>
      <c r="D184" s="1" t="n">
        <v>2</v>
      </c>
      <c r="E184" s="1" t="n">
        <v>7</v>
      </c>
      <c r="F184" s="1" t="s">
        <v>47</v>
      </c>
      <c r="G184" s="1" t="s">
        <v>48</v>
      </c>
      <c r="H184" s="1" t="n">
        <v>14</v>
      </c>
      <c r="I184" s="1" t="n">
        <v>1249.22</v>
      </c>
      <c r="J184" s="1" t="n">
        <v>300</v>
      </c>
    </row>
    <row r="185" customFormat="false" ht="15" hidden="false" customHeight="true" outlineLevel="0" collapsed="false">
      <c r="A185" s="1" t="s">
        <v>101</v>
      </c>
      <c r="B185" s="1" t="s">
        <v>55</v>
      </c>
      <c r="C185" s="1" t="s">
        <v>87</v>
      </c>
      <c r="D185" s="1" t="n">
        <v>2</v>
      </c>
      <c r="E185" s="1" t="n">
        <v>7</v>
      </c>
      <c r="F185" s="1" t="s">
        <v>49</v>
      </c>
      <c r="G185" s="1" t="s">
        <v>49</v>
      </c>
      <c r="H185" s="1" t="n">
        <v>33</v>
      </c>
      <c r="I185" s="1" t="n">
        <v>2799.39</v>
      </c>
      <c r="J185" s="1" t="n">
        <v>300</v>
      </c>
    </row>
    <row r="186" customFormat="false" ht="15" hidden="false" customHeight="true" outlineLevel="0" collapsed="false">
      <c r="A186" s="1" t="s">
        <v>102</v>
      </c>
      <c r="B186" s="1" t="s">
        <v>57</v>
      </c>
      <c r="C186" s="1" t="s">
        <v>87</v>
      </c>
      <c r="D186" s="1" t="n">
        <v>2</v>
      </c>
      <c r="E186" s="1" t="n">
        <v>7</v>
      </c>
      <c r="F186" s="1" t="s">
        <v>43</v>
      </c>
      <c r="G186" s="1" t="s">
        <v>44</v>
      </c>
      <c r="H186" s="1" t="n">
        <v>15</v>
      </c>
      <c r="I186" s="1" t="n">
        <v>1607.55</v>
      </c>
      <c r="J186" s="1" t="n">
        <v>300</v>
      </c>
    </row>
    <row r="187" customFormat="false" ht="15" hidden="false" customHeight="true" outlineLevel="0" collapsed="false">
      <c r="A187" s="1" t="s">
        <v>102</v>
      </c>
      <c r="B187" s="1" t="s">
        <v>57</v>
      </c>
      <c r="C187" s="1" t="s">
        <v>87</v>
      </c>
      <c r="D187" s="1" t="n">
        <v>2</v>
      </c>
      <c r="E187" s="1" t="n">
        <v>7</v>
      </c>
      <c r="F187" s="1" t="s">
        <v>45</v>
      </c>
      <c r="G187" s="1" t="s">
        <v>46</v>
      </c>
      <c r="H187" s="1" t="n">
        <v>47</v>
      </c>
      <c r="I187" s="1" t="n">
        <v>4794.47</v>
      </c>
      <c r="J187" s="1" t="n">
        <v>300</v>
      </c>
    </row>
    <row r="188" customFormat="false" ht="15" hidden="false" customHeight="true" outlineLevel="0" collapsed="false">
      <c r="A188" s="1" t="s">
        <v>102</v>
      </c>
      <c r="B188" s="1" t="s">
        <v>57</v>
      </c>
      <c r="C188" s="1" t="s">
        <v>87</v>
      </c>
      <c r="D188" s="1" t="n">
        <v>2</v>
      </c>
      <c r="E188" s="1" t="n">
        <v>7</v>
      </c>
      <c r="F188" s="1" t="s">
        <v>47</v>
      </c>
      <c r="G188" s="1" t="s">
        <v>48</v>
      </c>
      <c r="H188" s="1" t="n">
        <v>14</v>
      </c>
      <c r="I188" s="1" t="n">
        <v>1353.66</v>
      </c>
      <c r="J188" s="1" t="n">
        <v>300</v>
      </c>
    </row>
    <row r="189" customFormat="false" ht="15" hidden="false" customHeight="true" outlineLevel="0" collapsed="false">
      <c r="A189" s="1" t="s">
        <v>102</v>
      </c>
      <c r="B189" s="1" t="s">
        <v>57</v>
      </c>
      <c r="C189" s="1" t="s">
        <v>87</v>
      </c>
      <c r="D189" s="1" t="n">
        <v>2</v>
      </c>
      <c r="E189" s="1" t="n">
        <v>7</v>
      </c>
      <c r="F189" s="1" t="s">
        <v>49</v>
      </c>
      <c r="G189" s="1" t="s">
        <v>49</v>
      </c>
      <c r="H189" s="1" t="n">
        <v>39</v>
      </c>
      <c r="I189" s="1" t="n">
        <v>3153.54</v>
      </c>
      <c r="J189" s="1" t="n">
        <v>300</v>
      </c>
    </row>
    <row r="190" customFormat="false" ht="15" hidden="false" customHeight="true" outlineLevel="0" collapsed="false">
      <c r="A190" s="1" t="s">
        <v>103</v>
      </c>
      <c r="B190" s="1" t="s">
        <v>59</v>
      </c>
      <c r="C190" s="1" t="s">
        <v>87</v>
      </c>
      <c r="D190" s="1" t="n">
        <v>2</v>
      </c>
      <c r="E190" s="1" t="n">
        <v>8</v>
      </c>
      <c r="F190" s="1" t="s">
        <v>43</v>
      </c>
      <c r="G190" s="1" t="s">
        <v>44</v>
      </c>
      <c r="H190" s="1" t="n">
        <v>87</v>
      </c>
      <c r="I190" s="1" t="n">
        <v>9884.94</v>
      </c>
      <c r="J190" s="1" t="n">
        <v>300</v>
      </c>
    </row>
    <row r="191" customFormat="false" ht="15" hidden="false" customHeight="true" outlineLevel="0" collapsed="false">
      <c r="A191" s="1" t="s">
        <v>103</v>
      </c>
      <c r="B191" s="1" t="s">
        <v>59</v>
      </c>
      <c r="C191" s="1" t="s">
        <v>87</v>
      </c>
      <c r="D191" s="1" t="n">
        <v>2</v>
      </c>
      <c r="E191" s="1" t="n">
        <v>8</v>
      </c>
      <c r="F191" s="1" t="s">
        <v>45</v>
      </c>
      <c r="G191" s="1" t="s">
        <v>46</v>
      </c>
      <c r="H191" s="1" t="n">
        <v>20</v>
      </c>
      <c r="I191" s="1" t="n">
        <v>1885</v>
      </c>
      <c r="J191" s="1" t="n">
        <v>300</v>
      </c>
    </row>
    <row r="192" customFormat="false" ht="15" hidden="false" customHeight="true" outlineLevel="0" collapsed="false">
      <c r="A192" s="1" t="s">
        <v>103</v>
      </c>
      <c r="B192" s="1" t="s">
        <v>59</v>
      </c>
      <c r="C192" s="1" t="s">
        <v>87</v>
      </c>
      <c r="D192" s="1" t="n">
        <v>2</v>
      </c>
      <c r="E192" s="1" t="n">
        <v>8</v>
      </c>
      <c r="F192" s="1" t="s">
        <v>47</v>
      </c>
      <c r="G192" s="1" t="s">
        <v>48</v>
      </c>
      <c r="H192" s="1" t="n">
        <v>22</v>
      </c>
      <c r="I192" s="1" t="n">
        <v>1939.08</v>
      </c>
      <c r="J192" s="1" t="n">
        <v>300</v>
      </c>
    </row>
    <row r="193" customFormat="false" ht="15" hidden="false" customHeight="true" outlineLevel="0" collapsed="false">
      <c r="A193" s="1" t="s">
        <v>103</v>
      </c>
      <c r="B193" s="1" t="s">
        <v>59</v>
      </c>
      <c r="C193" s="1" t="s">
        <v>87</v>
      </c>
      <c r="D193" s="1" t="n">
        <v>2</v>
      </c>
      <c r="E193" s="1" t="n">
        <v>8</v>
      </c>
      <c r="F193" s="1" t="s">
        <v>49</v>
      </c>
      <c r="G193" s="1" t="s">
        <v>49</v>
      </c>
      <c r="H193" s="1" t="n">
        <v>21</v>
      </c>
      <c r="I193" s="1" t="n">
        <v>1723.89</v>
      </c>
      <c r="J193" s="1" t="n">
        <v>300</v>
      </c>
    </row>
    <row r="194" customFormat="false" ht="15" hidden="false" customHeight="true" outlineLevel="0" collapsed="false">
      <c r="A194" s="1" t="s">
        <v>104</v>
      </c>
      <c r="B194" s="1" t="s">
        <v>61</v>
      </c>
      <c r="C194" s="1" t="s">
        <v>87</v>
      </c>
      <c r="D194" s="1" t="n">
        <v>2</v>
      </c>
      <c r="E194" s="1" t="n">
        <v>8</v>
      </c>
      <c r="F194" s="1" t="s">
        <v>43</v>
      </c>
      <c r="G194" s="1" t="s">
        <v>44</v>
      </c>
      <c r="H194" s="1" t="n">
        <v>75</v>
      </c>
      <c r="I194" s="1" t="n">
        <v>8505</v>
      </c>
      <c r="J194" s="1" t="n">
        <v>300</v>
      </c>
    </row>
    <row r="195" customFormat="false" ht="15" hidden="false" customHeight="true" outlineLevel="0" collapsed="false">
      <c r="A195" s="1" t="s">
        <v>104</v>
      </c>
      <c r="B195" s="1" t="s">
        <v>61</v>
      </c>
      <c r="C195" s="1" t="s">
        <v>87</v>
      </c>
      <c r="D195" s="1" t="n">
        <v>2</v>
      </c>
      <c r="E195" s="1" t="n">
        <v>8</v>
      </c>
      <c r="F195" s="1" t="s">
        <v>45</v>
      </c>
      <c r="G195" s="1" t="s">
        <v>46</v>
      </c>
      <c r="H195" s="1" t="n">
        <v>18</v>
      </c>
      <c r="I195" s="1" t="n">
        <v>1983.6</v>
      </c>
      <c r="J195" s="1" t="n">
        <v>300</v>
      </c>
    </row>
    <row r="196" customFormat="false" ht="15" hidden="false" customHeight="true" outlineLevel="0" collapsed="false">
      <c r="A196" s="1" t="s">
        <v>104</v>
      </c>
      <c r="B196" s="1" t="s">
        <v>61</v>
      </c>
      <c r="C196" s="1" t="s">
        <v>87</v>
      </c>
      <c r="D196" s="1" t="n">
        <v>2</v>
      </c>
      <c r="E196" s="1" t="n">
        <v>8</v>
      </c>
      <c r="F196" s="1" t="s">
        <v>47</v>
      </c>
      <c r="G196" s="1" t="s">
        <v>48</v>
      </c>
      <c r="H196" s="1" t="n">
        <v>26</v>
      </c>
      <c r="I196" s="1" t="n">
        <v>2295.02</v>
      </c>
      <c r="J196" s="1" t="n">
        <v>300</v>
      </c>
    </row>
    <row r="197" customFormat="false" ht="15" hidden="false" customHeight="true" outlineLevel="0" collapsed="false">
      <c r="A197" s="1" t="s">
        <v>104</v>
      </c>
      <c r="B197" s="1" t="s">
        <v>61</v>
      </c>
      <c r="C197" s="1" t="s">
        <v>87</v>
      </c>
      <c r="D197" s="1" t="n">
        <v>2</v>
      </c>
      <c r="E197" s="1" t="n">
        <v>8</v>
      </c>
      <c r="F197" s="1" t="s">
        <v>49</v>
      </c>
      <c r="G197" s="1" t="s">
        <v>49</v>
      </c>
      <c r="H197" s="1" t="n">
        <v>23</v>
      </c>
      <c r="I197" s="1" t="n">
        <v>2007.21</v>
      </c>
      <c r="J197" s="1" t="n">
        <v>300</v>
      </c>
    </row>
    <row r="198" customFormat="false" ht="15" hidden="false" customHeight="true" outlineLevel="0" collapsed="false">
      <c r="A198" s="1" t="s">
        <v>105</v>
      </c>
      <c r="B198" s="1" t="s">
        <v>41</v>
      </c>
      <c r="C198" s="1" t="s">
        <v>87</v>
      </c>
      <c r="D198" s="1" t="n">
        <v>2</v>
      </c>
      <c r="E198" s="1" t="n">
        <v>8</v>
      </c>
      <c r="F198" s="1" t="s">
        <v>43</v>
      </c>
      <c r="G198" s="1" t="s">
        <v>44</v>
      </c>
      <c r="H198" s="1" t="n">
        <v>71</v>
      </c>
      <c r="I198" s="1" t="n">
        <v>8855.83</v>
      </c>
      <c r="J198" s="1" t="n">
        <v>300</v>
      </c>
    </row>
    <row r="199" customFormat="false" ht="15" hidden="false" customHeight="true" outlineLevel="0" collapsed="false">
      <c r="A199" s="1" t="s">
        <v>105</v>
      </c>
      <c r="B199" s="1" t="s">
        <v>41</v>
      </c>
      <c r="C199" s="1" t="s">
        <v>87</v>
      </c>
      <c r="D199" s="1" t="n">
        <v>2</v>
      </c>
      <c r="E199" s="1" t="n">
        <v>8</v>
      </c>
      <c r="F199" s="1" t="s">
        <v>45</v>
      </c>
      <c r="G199" s="1" t="s">
        <v>46</v>
      </c>
      <c r="H199" s="1" t="n">
        <v>19</v>
      </c>
      <c r="I199" s="1" t="n">
        <v>1828.94</v>
      </c>
      <c r="J199" s="1" t="n">
        <v>300</v>
      </c>
    </row>
    <row r="200" customFormat="false" ht="15" hidden="false" customHeight="true" outlineLevel="0" collapsed="false">
      <c r="A200" s="1" t="s">
        <v>105</v>
      </c>
      <c r="B200" s="1" t="s">
        <v>41</v>
      </c>
      <c r="C200" s="1" t="s">
        <v>87</v>
      </c>
      <c r="D200" s="1" t="n">
        <v>2</v>
      </c>
      <c r="E200" s="1" t="n">
        <v>8</v>
      </c>
      <c r="F200" s="1" t="s">
        <v>47</v>
      </c>
      <c r="G200" s="1" t="s">
        <v>48</v>
      </c>
      <c r="H200" s="1" t="n">
        <v>20</v>
      </c>
      <c r="I200" s="1" t="n">
        <v>1977.2</v>
      </c>
      <c r="J200" s="1" t="n">
        <v>300</v>
      </c>
    </row>
    <row r="201" customFormat="false" ht="15" hidden="false" customHeight="true" outlineLevel="0" collapsed="false">
      <c r="A201" s="1" t="s">
        <v>105</v>
      </c>
      <c r="B201" s="1" t="s">
        <v>41</v>
      </c>
      <c r="C201" s="1" t="s">
        <v>87</v>
      </c>
      <c r="D201" s="1" t="n">
        <v>2</v>
      </c>
      <c r="E201" s="1" t="n">
        <v>8</v>
      </c>
      <c r="F201" s="1" t="s">
        <v>49</v>
      </c>
      <c r="G201" s="1" t="s">
        <v>49</v>
      </c>
      <c r="H201" s="1" t="n">
        <v>25</v>
      </c>
      <c r="I201" s="1" t="n">
        <v>2276.5</v>
      </c>
      <c r="J201" s="1" t="n">
        <v>300</v>
      </c>
    </row>
    <row r="202" customFormat="false" ht="15" hidden="false" customHeight="true" outlineLevel="0" collapsed="false">
      <c r="A202" s="1" t="s">
        <v>106</v>
      </c>
      <c r="B202" s="1" t="s">
        <v>51</v>
      </c>
      <c r="C202" s="1" t="s">
        <v>87</v>
      </c>
      <c r="D202" s="1" t="n">
        <v>2</v>
      </c>
      <c r="E202" s="1" t="n">
        <v>8</v>
      </c>
      <c r="F202" s="1" t="s">
        <v>43</v>
      </c>
      <c r="G202" s="1" t="s">
        <v>44</v>
      </c>
      <c r="H202" s="1" t="n">
        <v>69</v>
      </c>
      <c r="I202" s="1" t="n">
        <v>7475.46</v>
      </c>
      <c r="J202" s="1" t="n">
        <v>300</v>
      </c>
    </row>
    <row r="203" customFormat="false" ht="15" hidden="false" customHeight="true" outlineLevel="0" collapsed="false">
      <c r="A203" s="1" t="s">
        <v>106</v>
      </c>
      <c r="B203" s="1" t="s">
        <v>51</v>
      </c>
      <c r="C203" s="1" t="s">
        <v>87</v>
      </c>
      <c r="D203" s="1" t="n">
        <v>2</v>
      </c>
      <c r="E203" s="1" t="n">
        <v>8</v>
      </c>
      <c r="F203" s="1" t="s">
        <v>45</v>
      </c>
      <c r="G203" s="1" t="s">
        <v>46</v>
      </c>
      <c r="H203" s="1" t="n">
        <v>17</v>
      </c>
      <c r="I203" s="1" t="n">
        <v>1688.61</v>
      </c>
      <c r="J203" s="1" t="n">
        <v>300</v>
      </c>
    </row>
    <row r="204" customFormat="false" ht="15" hidden="false" customHeight="true" outlineLevel="0" collapsed="false">
      <c r="A204" s="1" t="s">
        <v>106</v>
      </c>
      <c r="B204" s="1" t="s">
        <v>51</v>
      </c>
      <c r="C204" s="1" t="s">
        <v>87</v>
      </c>
      <c r="D204" s="1" t="n">
        <v>2</v>
      </c>
      <c r="E204" s="1" t="n">
        <v>8</v>
      </c>
      <c r="F204" s="1" t="s">
        <v>47</v>
      </c>
      <c r="G204" s="1" t="s">
        <v>48</v>
      </c>
      <c r="H204" s="1" t="n">
        <v>23</v>
      </c>
      <c r="I204" s="1" t="n">
        <v>2181.55</v>
      </c>
      <c r="J204" s="1" t="n">
        <v>300</v>
      </c>
    </row>
    <row r="205" customFormat="false" ht="15" hidden="false" customHeight="true" outlineLevel="0" collapsed="false">
      <c r="A205" s="1" t="s">
        <v>106</v>
      </c>
      <c r="B205" s="1" t="s">
        <v>51</v>
      </c>
      <c r="C205" s="1" t="s">
        <v>87</v>
      </c>
      <c r="D205" s="1" t="n">
        <v>2</v>
      </c>
      <c r="E205" s="1" t="n">
        <v>8</v>
      </c>
      <c r="F205" s="1" t="s">
        <v>49</v>
      </c>
      <c r="G205" s="1" t="s">
        <v>49</v>
      </c>
      <c r="H205" s="1" t="n">
        <v>23</v>
      </c>
      <c r="I205" s="1" t="n">
        <v>1932.92</v>
      </c>
      <c r="J205" s="1" t="n">
        <v>300</v>
      </c>
    </row>
    <row r="206" customFormat="false" ht="15" hidden="false" customHeight="true" outlineLevel="0" collapsed="false">
      <c r="A206" s="1" t="s">
        <v>107</v>
      </c>
      <c r="B206" s="1" t="s">
        <v>53</v>
      </c>
      <c r="C206" s="1" t="s">
        <v>87</v>
      </c>
      <c r="D206" s="1" t="n">
        <v>2</v>
      </c>
      <c r="E206" s="1" t="n">
        <v>8</v>
      </c>
      <c r="F206" s="1" t="s">
        <v>43</v>
      </c>
      <c r="G206" s="1" t="s">
        <v>44</v>
      </c>
      <c r="H206" s="1" t="n">
        <v>82</v>
      </c>
      <c r="I206" s="1" t="n">
        <v>9499.7</v>
      </c>
      <c r="J206" s="1" t="n">
        <v>300</v>
      </c>
    </row>
    <row r="207" customFormat="false" ht="15" hidden="false" customHeight="true" outlineLevel="0" collapsed="false">
      <c r="A207" s="1" t="s">
        <v>107</v>
      </c>
      <c r="B207" s="1" t="s">
        <v>53</v>
      </c>
      <c r="C207" s="1" t="s">
        <v>87</v>
      </c>
      <c r="D207" s="1" t="n">
        <v>2</v>
      </c>
      <c r="E207" s="1" t="n">
        <v>8</v>
      </c>
      <c r="F207" s="1" t="s">
        <v>45</v>
      </c>
      <c r="G207" s="1" t="s">
        <v>46</v>
      </c>
      <c r="H207" s="1" t="n">
        <v>18</v>
      </c>
      <c r="I207" s="1" t="n">
        <v>1662.66</v>
      </c>
      <c r="J207" s="1" t="n">
        <v>300</v>
      </c>
    </row>
    <row r="208" customFormat="false" ht="15" hidden="false" customHeight="true" outlineLevel="0" collapsed="false">
      <c r="A208" s="1" t="s">
        <v>107</v>
      </c>
      <c r="B208" s="1" t="s">
        <v>53</v>
      </c>
      <c r="C208" s="1" t="s">
        <v>87</v>
      </c>
      <c r="D208" s="1" t="n">
        <v>2</v>
      </c>
      <c r="E208" s="1" t="n">
        <v>8</v>
      </c>
      <c r="F208" s="1" t="s">
        <v>47</v>
      </c>
      <c r="G208" s="1" t="s">
        <v>48</v>
      </c>
      <c r="H208" s="1" t="n">
        <v>21</v>
      </c>
      <c r="I208" s="1" t="n">
        <v>2067.24</v>
      </c>
      <c r="J208" s="1" t="n">
        <v>300</v>
      </c>
    </row>
    <row r="209" customFormat="false" ht="15" hidden="false" customHeight="true" outlineLevel="0" collapsed="false">
      <c r="A209" s="1" t="s">
        <v>107</v>
      </c>
      <c r="B209" s="1" t="s">
        <v>53</v>
      </c>
      <c r="C209" s="1" t="s">
        <v>87</v>
      </c>
      <c r="D209" s="1" t="n">
        <v>2</v>
      </c>
      <c r="E209" s="1" t="n">
        <v>8</v>
      </c>
      <c r="F209" s="1" t="s">
        <v>49</v>
      </c>
      <c r="G209" s="1" t="s">
        <v>49</v>
      </c>
      <c r="H209" s="1" t="n">
        <v>26</v>
      </c>
      <c r="I209" s="1" t="n">
        <v>2104.96</v>
      </c>
      <c r="J209" s="1" t="n">
        <v>300</v>
      </c>
    </row>
    <row r="210" customFormat="false" ht="15" hidden="false" customHeight="true" outlineLevel="0" collapsed="false">
      <c r="A210" s="1" t="s">
        <v>108</v>
      </c>
      <c r="B210" s="1" t="s">
        <v>55</v>
      </c>
      <c r="C210" s="1" t="s">
        <v>87</v>
      </c>
      <c r="D210" s="1" t="n">
        <v>2</v>
      </c>
      <c r="E210" s="1" t="n">
        <v>8</v>
      </c>
      <c r="F210" s="1" t="s">
        <v>43</v>
      </c>
      <c r="G210" s="1" t="s">
        <v>44</v>
      </c>
      <c r="H210" s="1" t="n">
        <v>17</v>
      </c>
      <c r="I210" s="1" t="n">
        <v>1923.72</v>
      </c>
      <c r="J210" s="1" t="n">
        <v>300</v>
      </c>
    </row>
    <row r="211" customFormat="false" ht="15" hidden="false" customHeight="true" outlineLevel="0" collapsed="false">
      <c r="A211" s="1" t="s">
        <v>108</v>
      </c>
      <c r="B211" s="1" t="s">
        <v>55</v>
      </c>
      <c r="C211" s="1" t="s">
        <v>87</v>
      </c>
      <c r="D211" s="1" t="n">
        <v>2</v>
      </c>
      <c r="E211" s="1" t="n">
        <v>8</v>
      </c>
      <c r="F211" s="1" t="s">
        <v>45</v>
      </c>
      <c r="G211" s="1" t="s">
        <v>46</v>
      </c>
      <c r="H211" s="1" t="n">
        <v>52</v>
      </c>
      <c r="I211" s="1" t="n">
        <v>5171.4</v>
      </c>
      <c r="J211" s="1" t="n">
        <v>300</v>
      </c>
    </row>
    <row r="212" customFormat="false" ht="15" hidden="false" customHeight="true" outlineLevel="0" collapsed="false">
      <c r="A212" s="1" t="s">
        <v>108</v>
      </c>
      <c r="B212" s="1" t="s">
        <v>55</v>
      </c>
      <c r="C212" s="1" t="s">
        <v>87</v>
      </c>
      <c r="D212" s="1" t="n">
        <v>2</v>
      </c>
      <c r="E212" s="1" t="n">
        <v>8</v>
      </c>
      <c r="F212" s="1" t="s">
        <v>47</v>
      </c>
      <c r="G212" s="1" t="s">
        <v>48</v>
      </c>
      <c r="H212" s="1" t="n">
        <v>15</v>
      </c>
      <c r="I212" s="1" t="n">
        <v>1515.9</v>
      </c>
      <c r="J212" s="1" t="n">
        <v>300</v>
      </c>
    </row>
    <row r="213" customFormat="false" ht="15" hidden="false" customHeight="true" outlineLevel="0" collapsed="false">
      <c r="A213" s="1" t="s">
        <v>108</v>
      </c>
      <c r="B213" s="1" t="s">
        <v>55</v>
      </c>
      <c r="C213" s="1" t="s">
        <v>87</v>
      </c>
      <c r="D213" s="1" t="n">
        <v>2</v>
      </c>
      <c r="E213" s="1" t="n">
        <v>8</v>
      </c>
      <c r="F213" s="1" t="s">
        <v>49</v>
      </c>
      <c r="G213" s="1" t="s">
        <v>49</v>
      </c>
      <c r="H213" s="1" t="n">
        <v>32</v>
      </c>
      <c r="I213" s="1" t="n">
        <v>2870.72</v>
      </c>
      <c r="J213" s="1" t="n">
        <v>300</v>
      </c>
    </row>
    <row r="214" customFormat="false" ht="15" hidden="false" customHeight="true" outlineLevel="0" collapsed="false">
      <c r="A214" s="1" t="s">
        <v>109</v>
      </c>
      <c r="B214" s="1" t="s">
        <v>57</v>
      </c>
      <c r="C214" s="1" t="s">
        <v>87</v>
      </c>
      <c r="D214" s="1" t="n">
        <v>2</v>
      </c>
      <c r="E214" s="1" t="n">
        <v>8</v>
      </c>
      <c r="F214" s="1" t="s">
        <v>43</v>
      </c>
      <c r="G214" s="1" t="s">
        <v>44</v>
      </c>
      <c r="H214" s="1" t="n">
        <v>16</v>
      </c>
      <c r="I214" s="1" t="n">
        <v>1945.76</v>
      </c>
      <c r="J214" s="1" t="n">
        <v>300</v>
      </c>
    </row>
    <row r="215" customFormat="false" ht="15" hidden="false" customHeight="true" outlineLevel="0" collapsed="false">
      <c r="A215" s="1" t="s">
        <v>109</v>
      </c>
      <c r="B215" s="1" t="s">
        <v>57</v>
      </c>
      <c r="C215" s="1" t="s">
        <v>87</v>
      </c>
      <c r="D215" s="1" t="n">
        <v>2</v>
      </c>
      <c r="E215" s="1" t="n">
        <v>8</v>
      </c>
      <c r="F215" s="1" t="s">
        <v>45</v>
      </c>
      <c r="G215" s="1" t="s">
        <v>46</v>
      </c>
      <c r="H215" s="1" t="n">
        <v>43</v>
      </c>
      <c r="I215" s="1" t="n">
        <v>4434.59</v>
      </c>
      <c r="J215" s="1" t="n">
        <v>300</v>
      </c>
    </row>
    <row r="216" customFormat="false" ht="15" hidden="false" customHeight="true" outlineLevel="0" collapsed="false">
      <c r="A216" s="1" t="s">
        <v>109</v>
      </c>
      <c r="B216" s="1" t="s">
        <v>57</v>
      </c>
      <c r="C216" s="1" t="s">
        <v>87</v>
      </c>
      <c r="D216" s="1" t="n">
        <v>2</v>
      </c>
      <c r="E216" s="1" t="n">
        <v>8</v>
      </c>
      <c r="F216" s="1" t="s">
        <v>47</v>
      </c>
      <c r="G216" s="1" t="s">
        <v>48</v>
      </c>
      <c r="H216" s="1" t="n">
        <v>14</v>
      </c>
      <c r="I216" s="1" t="n">
        <v>1144.92</v>
      </c>
      <c r="J216" s="1" t="n">
        <v>300</v>
      </c>
    </row>
    <row r="217" customFormat="false" ht="15" hidden="false" customHeight="true" outlineLevel="0" collapsed="false">
      <c r="A217" s="1" t="s">
        <v>109</v>
      </c>
      <c r="B217" s="1" t="s">
        <v>57</v>
      </c>
      <c r="C217" s="1" t="s">
        <v>87</v>
      </c>
      <c r="D217" s="1" t="n">
        <v>2</v>
      </c>
      <c r="E217" s="1" t="n">
        <v>8</v>
      </c>
      <c r="F217" s="1" t="s">
        <v>49</v>
      </c>
      <c r="G217" s="1" t="s">
        <v>49</v>
      </c>
      <c r="H217" s="1" t="n">
        <v>29</v>
      </c>
      <c r="I217" s="1" t="n">
        <v>2157.31</v>
      </c>
      <c r="J217" s="1" t="n">
        <v>300</v>
      </c>
    </row>
    <row r="218" customFormat="false" ht="15" hidden="false" customHeight="true" outlineLevel="0" collapsed="false">
      <c r="A218" s="1" t="s">
        <v>110</v>
      </c>
      <c r="B218" s="1" t="s">
        <v>59</v>
      </c>
      <c r="C218" s="1" t="s">
        <v>87</v>
      </c>
      <c r="D218" s="1" t="n">
        <v>2</v>
      </c>
      <c r="E218" s="1" t="n">
        <v>9</v>
      </c>
      <c r="F218" s="1" t="s">
        <v>43</v>
      </c>
      <c r="G218" s="1" t="s">
        <v>44</v>
      </c>
      <c r="H218" s="1" t="n">
        <v>79</v>
      </c>
      <c r="I218" s="1" t="n">
        <v>9260.38</v>
      </c>
      <c r="J218" s="1" t="n">
        <v>300</v>
      </c>
    </row>
    <row r="219" customFormat="false" ht="15" hidden="false" customHeight="true" outlineLevel="0" collapsed="false">
      <c r="A219" s="1" t="s">
        <v>110</v>
      </c>
      <c r="B219" s="1" t="s">
        <v>59</v>
      </c>
      <c r="C219" s="1" t="s">
        <v>87</v>
      </c>
      <c r="D219" s="1" t="n">
        <v>2</v>
      </c>
      <c r="E219" s="1" t="n">
        <v>9</v>
      </c>
      <c r="F219" s="1" t="s">
        <v>45</v>
      </c>
      <c r="G219" s="1" t="s">
        <v>46</v>
      </c>
      <c r="H219" s="1" t="n">
        <v>19</v>
      </c>
      <c r="I219" s="1" t="n">
        <v>1890.31</v>
      </c>
      <c r="J219" s="1" t="n">
        <v>300</v>
      </c>
    </row>
    <row r="220" customFormat="false" ht="15" hidden="false" customHeight="true" outlineLevel="0" collapsed="false">
      <c r="A220" s="1" t="s">
        <v>110</v>
      </c>
      <c r="B220" s="1" t="s">
        <v>59</v>
      </c>
      <c r="C220" s="1" t="s">
        <v>87</v>
      </c>
      <c r="D220" s="1" t="n">
        <v>2</v>
      </c>
      <c r="E220" s="1" t="n">
        <v>9</v>
      </c>
      <c r="F220" s="1" t="s">
        <v>47</v>
      </c>
      <c r="G220" s="1" t="s">
        <v>48</v>
      </c>
      <c r="H220" s="1" t="n">
        <v>27</v>
      </c>
      <c r="I220" s="1" t="n">
        <v>2264.22</v>
      </c>
      <c r="J220" s="1" t="n">
        <v>300</v>
      </c>
    </row>
    <row r="221" customFormat="false" ht="15" hidden="false" customHeight="true" outlineLevel="0" collapsed="false">
      <c r="A221" s="1" t="s">
        <v>110</v>
      </c>
      <c r="B221" s="1" t="s">
        <v>59</v>
      </c>
      <c r="C221" s="1" t="s">
        <v>87</v>
      </c>
      <c r="D221" s="1" t="n">
        <v>2</v>
      </c>
      <c r="E221" s="1" t="n">
        <v>9</v>
      </c>
      <c r="F221" s="1" t="s">
        <v>49</v>
      </c>
      <c r="G221" s="1" t="s">
        <v>49</v>
      </c>
      <c r="H221" s="1" t="n">
        <v>22</v>
      </c>
      <c r="I221" s="1" t="n">
        <v>1858.56</v>
      </c>
      <c r="J221" s="1" t="n">
        <v>300</v>
      </c>
    </row>
    <row r="222" customFormat="false" ht="15" hidden="false" customHeight="true" outlineLevel="0" collapsed="false">
      <c r="A222" s="1" t="s">
        <v>111</v>
      </c>
      <c r="B222" s="1" t="s">
        <v>61</v>
      </c>
      <c r="C222" s="1" t="s">
        <v>87</v>
      </c>
      <c r="D222" s="1" t="n">
        <v>2</v>
      </c>
      <c r="E222" s="1" t="n">
        <v>9</v>
      </c>
      <c r="F222" s="1" t="s">
        <v>43</v>
      </c>
      <c r="G222" s="1" t="s">
        <v>44</v>
      </c>
      <c r="H222" s="1" t="n">
        <v>84</v>
      </c>
      <c r="I222" s="1" t="n">
        <v>9421.44</v>
      </c>
      <c r="J222" s="1" t="n">
        <v>300</v>
      </c>
    </row>
    <row r="223" customFormat="false" ht="15" hidden="false" customHeight="true" outlineLevel="0" collapsed="false">
      <c r="A223" s="1" t="s">
        <v>111</v>
      </c>
      <c r="B223" s="1" t="s">
        <v>61</v>
      </c>
      <c r="C223" s="1" t="s">
        <v>87</v>
      </c>
      <c r="D223" s="1" t="n">
        <v>2</v>
      </c>
      <c r="E223" s="1" t="n">
        <v>9</v>
      </c>
      <c r="F223" s="1" t="s">
        <v>45</v>
      </c>
      <c r="G223" s="1" t="s">
        <v>46</v>
      </c>
      <c r="H223" s="1" t="n">
        <v>14</v>
      </c>
      <c r="I223" s="1" t="n">
        <v>1379.28</v>
      </c>
      <c r="J223" s="1" t="n">
        <v>300</v>
      </c>
    </row>
    <row r="224" customFormat="false" ht="15" hidden="false" customHeight="true" outlineLevel="0" collapsed="false">
      <c r="A224" s="1" t="s">
        <v>111</v>
      </c>
      <c r="B224" s="1" t="s">
        <v>61</v>
      </c>
      <c r="C224" s="1" t="s">
        <v>87</v>
      </c>
      <c r="D224" s="1" t="n">
        <v>2</v>
      </c>
      <c r="E224" s="1" t="n">
        <v>9</v>
      </c>
      <c r="F224" s="1" t="s">
        <v>47</v>
      </c>
      <c r="G224" s="1" t="s">
        <v>48</v>
      </c>
      <c r="H224" s="1" t="n">
        <v>21</v>
      </c>
      <c r="I224" s="1" t="n">
        <v>1997.31</v>
      </c>
      <c r="J224" s="1" t="n">
        <v>300</v>
      </c>
    </row>
    <row r="225" customFormat="false" ht="15" hidden="false" customHeight="true" outlineLevel="0" collapsed="false">
      <c r="A225" s="1" t="s">
        <v>111</v>
      </c>
      <c r="B225" s="1" t="s">
        <v>61</v>
      </c>
      <c r="C225" s="1" t="s">
        <v>87</v>
      </c>
      <c r="D225" s="1" t="n">
        <v>2</v>
      </c>
      <c r="E225" s="1" t="n">
        <v>9</v>
      </c>
      <c r="F225" s="1" t="s">
        <v>49</v>
      </c>
      <c r="G225" s="1" t="s">
        <v>49</v>
      </c>
      <c r="H225" s="1" t="n">
        <v>26</v>
      </c>
      <c r="I225" s="1" t="n">
        <v>2079.48</v>
      </c>
      <c r="J225" s="1" t="n">
        <v>300</v>
      </c>
    </row>
    <row r="226" customFormat="false" ht="15" hidden="false" customHeight="true" outlineLevel="0" collapsed="false">
      <c r="A226" s="1" t="s">
        <v>112</v>
      </c>
      <c r="B226" s="1" t="s">
        <v>41</v>
      </c>
      <c r="C226" s="1" t="s">
        <v>87</v>
      </c>
      <c r="D226" s="1" t="n">
        <v>2</v>
      </c>
      <c r="E226" s="1" t="n">
        <v>9</v>
      </c>
      <c r="F226" s="1" t="s">
        <v>43</v>
      </c>
      <c r="G226" s="1" t="s">
        <v>44</v>
      </c>
      <c r="H226" s="1" t="n">
        <v>77</v>
      </c>
      <c r="I226" s="1" t="n">
        <v>8103.48</v>
      </c>
      <c r="J226" s="1" t="n">
        <v>300</v>
      </c>
    </row>
    <row r="227" customFormat="false" ht="15" hidden="false" customHeight="true" outlineLevel="0" collapsed="false">
      <c r="A227" s="1" t="s">
        <v>112</v>
      </c>
      <c r="B227" s="1" t="s">
        <v>41</v>
      </c>
      <c r="C227" s="1" t="s">
        <v>87</v>
      </c>
      <c r="D227" s="1" t="n">
        <v>2</v>
      </c>
      <c r="E227" s="1" t="n">
        <v>9</v>
      </c>
      <c r="F227" s="1" t="s">
        <v>45</v>
      </c>
      <c r="G227" s="1" t="s">
        <v>46</v>
      </c>
      <c r="H227" s="1" t="n">
        <v>17</v>
      </c>
      <c r="I227" s="1" t="n">
        <v>1780.41</v>
      </c>
      <c r="J227" s="1" t="n">
        <v>300</v>
      </c>
    </row>
    <row r="228" customFormat="false" ht="15" hidden="false" customHeight="true" outlineLevel="0" collapsed="false">
      <c r="A228" s="1" t="s">
        <v>112</v>
      </c>
      <c r="B228" s="1" t="s">
        <v>41</v>
      </c>
      <c r="C228" s="1" t="s">
        <v>87</v>
      </c>
      <c r="D228" s="1" t="n">
        <v>2</v>
      </c>
      <c r="E228" s="1" t="n">
        <v>9</v>
      </c>
      <c r="F228" s="1" t="s">
        <v>47</v>
      </c>
      <c r="G228" s="1" t="s">
        <v>48</v>
      </c>
      <c r="H228" s="1" t="n">
        <v>22</v>
      </c>
      <c r="I228" s="1" t="n">
        <v>2072.4</v>
      </c>
      <c r="J228" s="1" t="n">
        <v>300</v>
      </c>
    </row>
    <row r="229" customFormat="false" ht="15" hidden="false" customHeight="true" outlineLevel="0" collapsed="false">
      <c r="A229" s="1" t="s">
        <v>112</v>
      </c>
      <c r="B229" s="1" t="s">
        <v>41</v>
      </c>
      <c r="C229" s="1" t="s">
        <v>87</v>
      </c>
      <c r="D229" s="1" t="n">
        <v>2</v>
      </c>
      <c r="E229" s="1" t="n">
        <v>9</v>
      </c>
      <c r="F229" s="1" t="s">
        <v>49</v>
      </c>
      <c r="G229" s="1" t="s">
        <v>49</v>
      </c>
      <c r="H229" s="1" t="n">
        <v>24</v>
      </c>
      <c r="I229" s="1" t="n">
        <v>1937.52</v>
      </c>
      <c r="J229" s="1" t="n">
        <v>300</v>
      </c>
    </row>
    <row r="230" customFormat="false" ht="15" hidden="false" customHeight="true" outlineLevel="0" collapsed="false">
      <c r="A230" s="1" t="s">
        <v>113</v>
      </c>
      <c r="B230" s="1" t="s">
        <v>51</v>
      </c>
      <c r="C230" s="1" t="s">
        <v>87</v>
      </c>
      <c r="D230" s="1" t="n">
        <v>2</v>
      </c>
      <c r="E230" s="1" t="n">
        <v>9</v>
      </c>
      <c r="F230" s="1" t="s">
        <v>43</v>
      </c>
      <c r="G230" s="1" t="s">
        <v>44</v>
      </c>
      <c r="H230" s="1" t="n">
        <v>80</v>
      </c>
      <c r="I230" s="1" t="n">
        <v>8432</v>
      </c>
      <c r="J230" s="1" t="n">
        <v>300</v>
      </c>
    </row>
    <row r="231" customFormat="false" ht="15" hidden="false" customHeight="true" outlineLevel="0" collapsed="false">
      <c r="A231" s="1" t="s">
        <v>113</v>
      </c>
      <c r="B231" s="1" t="s">
        <v>51</v>
      </c>
      <c r="C231" s="1" t="s">
        <v>87</v>
      </c>
      <c r="D231" s="1" t="n">
        <v>2</v>
      </c>
      <c r="E231" s="1" t="n">
        <v>9</v>
      </c>
      <c r="F231" s="1" t="s">
        <v>45</v>
      </c>
      <c r="G231" s="1" t="s">
        <v>46</v>
      </c>
      <c r="H231" s="1" t="n">
        <v>16</v>
      </c>
      <c r="I231" s="1" t="n">
        <v>1470.88</v>
      </c>
      <c r="J231" s="1" t="n">
        <v>300</v>
      </c>
    </row>
    <row r="232" customFormat="false" ht="15" hidden="false" customHeight="true" outlineLevel="0" collapsed="false">
      <c r="A232" s="1" t="s">
        <v>113</v>
      </c>
      <c r="B232" s="1" t="s">
        <v>51</v>
      </c>
      <c r="C232" s="1" t="s">
        <v>87</v>
      </c>
      <c r="D232" s="1" t="n">
        <v>2</v>
      </c>
      <c r="E232" s="1" t="n">
        <v>9</v>
      </c>
      <c r="F232" s="1" t="s">
        <v>47</v>
      </c>
      <c r="G232" s="1" t="s">
        <v>48</v>
      </c>
      <c r="H232" s="1" t="n">
        <v>28</v>
      </c>
      <c r="I232" s="1" t="n">
        <v>2565.64</v>
      </c>
      <c r="J232" s="1" t="n">
        <v>300</v>
      </c>
    </row>
    <row r="233" customFormat="false" ht="15" hidden="false" customHeight="true" outlineLevel="0" collapsed="false">
      <c r="A233" s="1" t="s">
        <v>113</v>
      </c>
      <c r="B233" s="1" t="s">
        <v>51</v>
      </c>
      <c r="C233" s="1" t="s">
        <v>87</v>
      </c>
      <c r="D233" s="1" t="n">
        <v>2</v>
      </c>
      <c r="E233" s="1" t="n">
        <v>9</v>
      </c>
      <c r="F233" s="1" t="s">
        <v>49</v>
      </c>
      <c r="G233" s="1" t="s">
        <v>49</v>
      </c>
      <c r="H233" s="1" t="n">
        <v>24</v>
      </c>
      <c r="I233" s="1" t="n">
        <v>2060.4</v>
      </c>
      <c r="J233" s="1" t="n">
        <v>300</v>
      </c>
    </row>
    <row r="234" customFormat="false" ht="15" hidden="false" customHeight="true" outlineLevel="0" collapsed="false">
      <c r="A234" s="1" t="s">
        <v>114</v>
      </c>
      <c r="B234" s="1" t="s">
        <v>53</v>
      </c>
      <c r="C234" s="1" t="s">
        <v>87</v>
      </c>
      <c r="D234" s="1" t="n">
        <v>2</v>
      </c>
      <c r="E234" s="1" t="n">
        <v>9</v>
      </c>
      <c r="F234" s="1" t="s">
        <v>43</v>
      </c>
      <c r="G234" s="1" t="s">
        <v>44</v>
      </c>
      <c r="H234" s="1" t="n">
        <v>80</v>
      </c>
      <c r="I234" s="1" t="n">
        <v>8871.2</v>
      </c>
      <c r="J234" s="1" t="n">
        <v>300</v>
      </c>
    </row>
    <row r="235" customFormat="false" ht="15" hidden="false" customHeight="true" outlineLevel="0" collapsed="false">
      <c r="A235" s="1" t="s">
        <v>114</v>
      </c>
      <c r="B235" s="1" t="s">
        <v>53</v>
      </c>
      <c r="C235" s="1" t="s">
        <v>87</v>
      </c>
      <c r="D235" s="1" t="n">
        <v>2</v>
      </c>
      <c r="E235" s="1" t="n">
        <v>9</v>
      </c>
      <c r="F235" s="1" t="s">
        <v>45</v>
      </c>
      <c r="G235" s="1" t="s">
        <v>46</v>
      </c>
      <c r="H235" s="1" t="n">
        <v>18</v>
      </c>
      <c r="I235" s="1" t="n">
        <v>1863.9</v>
      </c>
      <c r="J235" s="1" t="n">
        <v>300</v>
      </c>
    </row>
    <row r="236" customFormat="false" ht="15" hidden="false" customHeight="true" outlineLevel="0" collapsed="false">
      <c r="A236" s="1" t="s">
        <v>114</v>
      </c>
      <c r="B236" s="1" t="s">
        <v>53</v>
      </c>
      <c r="C236" s="1" t="s">
        <v>87</v>
      </c>
      <c r="D236" s="1" t="n">
        <v>2</v>
      </c>
      <c r="E236" s="1" t="n">
        <v>9</v>
      </c>
      <c r="F236" s="1" t="s">
        <v>47</v>
      </c>
      <c r="G236" s="1" t="s">
        <v>48</v>
      </c>
      <c r="H236" s="1" t="n">
        <v>23</v>
      </c>
      <c r="I236" s="1" t="n">
        <v>2030.21</v>
      </c>
      <c r="J236" s="1" t="n">
        <v>300</v>
      </c>
    </row>
    <row r="237" customFormat="false" ht="15" hidden="false" customHeight="true" outlineLevel="0" collapsed="false">
      <c r="A237" s="1" t="s">
        <v>114</v>
      </c>
      <c r="B237" s="1" t="s">
        <v>53</v>
      </c>
      <c r="C237" s="1" t="s">
        <v>87</v>
      </c>
      <c r="D237" s="1" t="n">
        <v>2</v>
      </c>
      <c r="E237" s="1" t="n">
        <v>9</v>
      </c>
      <c r="F237" s="1" t="s">
        <v>49</v>
      </c>
      <c r="G237" s="1" t="s">
        <v>49</v>
      </c>
      <c r="H237" s="1" t="n">
        <v>25</v>
      </c>
      <c r="I237" s="1" t="n">
        <v>1826.5</v>
      </c>
      <c r="J237" s="1" t="n">
        <v>300</v>
      </c>
    </row>
    <row r="238" customFormat="false" ht="15" hidden="false" customHeight="true" outlineLevel="0" collapsed="false">
      <c r="A238" s="1" t="s">
        <v>115</v>
      </c>
      <c r="B238" s="1" t="s">
        <v>55</v>
      </c>
      <c r="C238" s="1" t="s">
        <v>116</v>
      </c>
      <c r="D238" s="1" t="n">
        <v>3</v>
      </c>
      <c r="E238" s="1" t="n">
        <v>9</v>
      </c>
      <c r="F238" s="1" t="s">
        <v>43</v>
      </c>
      <c r="G238" s="1" t="s">
        <v>44</v>
      </c>
      <c r="H238" s="1" t="n">
        <v>16</v>
      </c>
      <c r="I238" s="1" t="n">
        <v>2055.04</v>
      </c>
      <c r="J238" s="1" t="n">
        <v>300</v>
      </c>
    </row>
    <row r="239" customFormat="false" ht="15" hidden="false" customHeight="true" outlineLevel="0" collapsed="false">
      <c r="A239" s="1" t="s">
        <v>115</v>
      </c>
      <c r="B239" s="1" t="s">
        <v>55</v>
      </c>
      <c r="C239" s="1" t="s">
        <v>116</v>
      </c>
      <c r="D239" s="1" t="n">
        <v>3</v>
      </c>
      <c r="E239" s="1" t="n">
        <v>9</v>
      </c>
      <c r="F239" s="1" t="s">
        <v>45</v>
      </c>
      <c r="G239" s="1" t="s">
        <v>46</v>
      </c>
      <c r="H239" s="1" t="n">
        <v>64</v>
      </c>
      <c r="I239" s="1" t="n">
        <v>6595.84</v>
      </c>
      <c r="J239" s="1" t="n">
        <v>300</v>
      </c>
    </row>
    <row r="240" customFormat="false" ht="15" hidden="false" customHeight="true" outlineLevel="0" collapsed="false">
      <c r="A240" s="1" t="s">
        <v>115</v>
      </c>
      <c r="B240" s="1" t="s">
        <v>55</v>
      </c>
      <c r="C240" s="1" t="s">
        <v>116</v>
      </c>
      <c r="D240" s="1" t="n">
        <v>3</v>
      </c>
      <c r="E240" s="1" t="n">
        <v>9</v>
      </c>
      <c r="F240" s="1" t="s">
        <v>47</v>
      </c>
      <c r="G240" s="1" t="s">
        <v>48</v>
      </c>
      <c r="H240" s="1" t="n">
        <v>16</v>
      </c>
      <c r="I240" s="1" t="n">
        <v>1574.08</v>
      </c>
      <c r="J240" s="1" t="n">
        <v>300</v>
      </c>
    </row>
    <row r="241" customFormat="false" ht="15" hidden="false" customHeight="true" outlineLevel="0" collapsed="false">
      <c r="A241" s="1" t="s">
        <v>115</v>
      </c>
      <c r="B241" s="1" t="s">
        <v>55</v>
      </c>
      <c r="C241" s="1" t="s">
        <v>116</v>
      </c>
      <c r="D241" s="1" t="n">
        <v>3</v>
      </c>
      <c r="E241" s="1" t="n">
        <v>9</v>
      </c>
      <c r="F241" s="1" t="s">
        <v>49</v>
      </c>
      <c r="G241" s="1" t="s">
        <v>49</v>
      </c>
      <c r="H241" s="1" t="n">
        <v>50</v>
      </c>
      <c r="I241" s="1" t="n">
        <v>4777</v>
      </c>
      <c r="J241" s="1" t="n">
        <v>300</v>
      </c>
    </row>
    <row r="242" customFormat="false" ht="15" hidden="false" customHeight="true" outlineLevel="0" collapsed="false">
      <c r="A242" s="1" t="s">
        <v>117</v>
      </c>
      <c r="B242" s="1" t="s">
        <v>57</v>
      </c>
      <c r="C242" s="1" t="s">
        <v>116</v>
      </c>
      <c r="D242" s="1" t="n">
        <v>3</v>
      </c>
      <c r="E242" s="1" t="n">
        <v>9</v>
      </c>
      <c r="F242" s="1" t="s">
        <v>43</v>
      </c>
      <c r="G242" s="1" t="s">
        <v>44</v>
      </c>
      <c r="H242" s="1" t="n">
        <v>18</v>
      </c>
      <c r="I242" s="1" t="n">
        <v>2014.2</v>
      </c>
      <c r="J242" s="1" t="n">
        <v>300</v>
      </c>
    </row>
    <row r="243" customFormat="false" ht="15" hidden="false" customHeight="true" outlineLevel="0" collapsed="false">
      <c r="A243" s="1" t="s">
        <v>117</v>
      </c>
      <c r="B243" s="1" t="s">
        <v>57</v>
      </c>
      <c r="C243" s="1" t="s">
        <v>116</v>
      </c>
      <c r="D243" s="1" t="n">
        <v>3</v>
      </c>
      <c r="E243" s="1" t="n">
        <v>9</v>
      </c>
      <c r="F243" s="1" t="s">
        <v>45</v>
      </c>
      <c r="G243" s="1" t="s">
        <v>46</v>
      </c>
      <c r="H243" s="1" t="n">
        <v>48</v>
      </c>
      <c r="I243" s="1" t="n">
        <v>5083.2</v>
      </c>
      <c r="J243" s="1" t="n">
        <v>300</v>
      </c>
    </row>
    <row r="244" customFormat="false" ht="15" hidden="false" customHeight="true" outlineLevel="0" collapsed="false">
      <c r="A244" s="1" t="s">
        <v>117</v>
      </c>
      <c r="B244" s="1" t="s">
        <v>57</v>
      </c>
      <c r="C244" s="1" t="s">
        <v>116</v>
      </c>
      <c r="D244" s="1" t="n">
        <v>3</v>
      </c>
      <c r="E244" s="1" t="n">
        <v>9</v>
      </c>
      <c r="F244" s="1" t="s">
        <v>47</v>
      </c>
      <c r="G244" s="1" t="s">
        <v>48</v>
      </c>
      <c r="H244" s="1" t="n">
        <v>14</v>
      </c>
      <c r="I244" s="1" t="n">
        <v>1236.62</v>
      </c>
      <c r="J244" s="1" t="n">
        <v>300</v>
      </c>
    </row>
    <row r="245" customFormat="false" ht="15" hidden="false" customHeight="true" outlineLevel="0" collapsed="false">
      <c r="A245" s="1" t="s">
        <v>117</v>
      </c>
      <c r="B245" s="1" t="s">
        <v>57</v>
      </c>
      <c r="C245" s="1" t="s">
        <v>116</v>
      </c>
      <c r="D245" s="1" t="n">
        <v>3</v>
      </c>
      <c r="E245" s="1" t="n">
        <v>9</v>
      </c>
      <c r="F245" s="1" t="s">
        <v>49</v>
      </c>
      <c r="G245" s="1" t="s">
        <v>49</v>
      </c>
      <c r="H245" s="1" t="n">
        <v>37</v>
      </c>
      <c r="I245" s="1" t="n">
        <v>3097.64</v>
      </c>
      <c r="J245" s="1" t="n">
        <v>300</v>
      </c>
    </row>
    <row r="246" customFormat="false" ht="15" hidden="false" customHeight="true" outlineLevel="0" collapsed="false">
      <c r="A246" s="1" t="s">
        <v>118</v>
      </c>
      <c r="B246" s="1" t="s">
        <v>59</v>
      </c>
      <c r="C246" s="1" t="s">
        <v>116</v>
      </c>
      <c r="D246" s="1" t="n">
        <v>3</v>
      </c>
      <c r="E246" s="1" t="n">
        <v>10</v>
      </c>
      <c r="F246" s="1" t="s">
        <v>43</v>
      </c>
      <c r="G246" s="1" t="s">
        <v>44</v>
      </c>
      <c r="H246" s="1" t="n">
        <v>112</v>
      </c>
      <c r="I246" s="1" t="n">
        <v>13997.76</v>
      </c>
      <c r="J246" s="1" t="n">
        <v>300</v>
      </c>
    </row>
    <row r="247" customFormat="false" ht="15" hidden="false" customHeight="true" outlineLevel="0" collapsed="false">
      <c r="A247" s="1" t="s">
        <v>118</v>
      </c>
      <c r="B247" s="1" t="s">
        <v>59</v>
      </c>
      <c r="C247" s="1" t="s">
        <v>116</v>
      </c>
      <c r="D247" s="1" t="n">
        <v>3</v>
      </c>
      <c r="E247" s="1" t="n">
        <v>10</v>
      </c>
      <c r="F247" s="1" t="s">
        <v>45</v>
      </c>
      <c r="G247" s="1" t="s">
        <v>46</v>
      </c>
      <c r="H247" s="1" t="n">
        <v>20</v>
      </c>
      <c r="I247" s="1" t="n">
        <v>2278.2</v>
      </c>
      <c r="J247" s="1" t="n">
        <v>300</v>
      </c>
    </row>
    <row r="248" customFormat="false" ht="15" hidden="false" customHeight="true" outlineLevel="0" collapsed="false">
      <c r="A248" s="1" t="s">
        <v>118</v>
      </c>
      <c r="B248" s="1" t="s">
        <v>59</v>
      </c>
      <c r="C248" s="1" t="s">
        <v>116</v>
      </c>
      <c r="D248" s="1" t="n">
        <v>3</v>
      </c>
      <c r="E248" s="1" t="n">
        <v>10</v>
      </c>
      <c r="F248" s="1" t="s">
        <v>47</v>
      </c>
      <c r="G248" s="1" t="s">
        <v>48</v>
      </c>
      <c r="H248" s="1" t="n">
        <v>29</v>
      </c>
      <c r="I248" s="1" t="n">
        <v>2655.82</v>
      </c>
      <c r="J248" s="1" t="n">
        <v>300</v>
      </c>
    </row>
    <row r="249" customFormat="false" ht="15" hidden="false" customHeight="true" outlineLevel="0" collapsed="false">
      <c r="A249" s="1" t="s">
        <v>118</v>
      </c>
      <c r="B249" s="1" t="s">
        <v>59</v>
      </c>
      <c r="C249" s="1" t="s">
        <v>116</v>
      </c>
      <c r="D249" s="1" t="n">
        <v>3</v>
      </c>
      <c r="E249" s="1" t="n">
        <v>10</v>
      </c>
      <c r="F249" s="1" t="s">
        <v>49</v>
      </c>
      <c r="G249" s="1" t="s">
        <v>49</v>
      </c>
      <c r="H249" s="1" t="n">
        <v>35</v>
      </c>
      <c r="I249" s="1" t="n">
        <v>3235.05</v>
      </c>
      <c r="J249" s="1" t="n">
        <v>300</v>
      </c>
    </row>
    <row r="250" customFormat="false" ht="15" hidden="false" customHeight="true" outlineLevel="0" collapsed="false">
      <c r="A250" s="1" t="s">
        <v>119</v>
      </c>
      <c r="B250" s="1" t="s">
        <v>61</v>
      </c>
      <c r="C250" s="1" t="s">
        <v>116</v>
      </c>
      <c r="D250" s="1" t="n">
        <v>3</v>
      </c>
      <c r="E250" s="1" t="n">
        <v>10</v>
      </c>
      <c r="F250" s="1" t="s">
        <v>43</v>
      </c>
      <c r="G250" s="1" t="s">
        <v>44</v>
      </c>
      <c r="H250" s="1" t="n">
        <v>88</v>
      </c>
      <c r="I250" s="1" t="n">
        <v>10326.8</v>
      </c>
      <c r="J250" s="1" t="n">
        <v>300</v>
      </c>
    </row>
    <row r="251" customFormat="false" ht="15" hidden="false" customHeight="true" outlineLevel="0" collapsed="false">
      <c r="A251" s="1" t="s">
        <v>119</v>
      </c>
      <c r="B251" s="1" t="s">
        <v>61</v>
      </c>
      <c r="C251" s="1" t="s">
        <v>116</v>
      </c>
      <c r="D251" s="1" t="n">
        <v>3</v>
      </c>
      <c r="E251" s="1" t="n">
        <v>10</v>
      </c>
      <c r="F251" s="1" t="s">
        <v>45</v>
      </c>
      <c r="G251" s="1" t="s">
        <v>46</v>
      </c>
      <c r="H251" s="1" t="n">
        <v>19</v>
      </c>
      <c r="I251" s="1" t="n">
        <v>1822.86</v>
      </c>
      <c r="J251" s="1" t="n">
        <v>300</v>
      </c>
    </row>
    <row r="252" customFormat="false" ht="15" hidden="false" customHeight="true" outlineLevel="0" collapsed="false">
      <c r="A252" s="1" t="s">
        <v>119</v>
      </c>
      <c r="B252" s="1" t="s">
        <v>61</v>
      </c>
      <c r="C252" s="1" t="s">
        <v>116</v>
      </c>
      <c r="D252" s="1" t="n">
        <v>3</v>
      </c>
      <c r="E252" s="1" t="n">
        <v>10</v>
      </c>
      <c r="F252" s="1" t="s">
        <v>47</v>
      </c>
      <c r="G252" s="1" t="s">
        <v>48</v>
      </c>
      <c r="H252" s="1" t="n">
        <v>31</v>
      </c>
      <c r="I252" s="1" t="n">
        <v>3336.84</v>
      </c>
      <c r="J252" s="1" t="n">
        <v>300</v>
      </c>
    </row>
    <row r="253" customFormat="false" ht="15" hidden="false" customHeight="true" outlineLevel="0" collapsed="false">
      <c r="A253" s="1" t="s">
        <v>119</v>
      </c>
      <c r="B253" s="1" t="s">
        <v>61</v>
      </c>
      <c r="C253" s="1" t="s">
        <v>116</v>
      </c>
      <c r="D253" s="1" t="n">
        <v>3</v>
      </c>
      <c r="E253" s="1" t="n">
        <v>10</v>
      </c>
      <c r="F253" s="1" t="s">
        <v>49</v>
      </c>
      <c r="G253" s="1" t="s">
        <v>49</v>
      </c>
      <c r="H253" s="1" t="n">
        <v>27</v>
      </c>
      <c r="I253" s="1" t="n">
        <v>2498.85</v>
      </c>
      <c r="J253" s="1" t="n">
        <v>300</v>
      </c>
    </row>
    <row r="254" customFormat="false" ht="15" hidden="false" customHeight="true" outlineLevel="0" collapsed="false">
      <c r="A254" s="1" t="s">
        <v>120</v>
      </c>
      <c r="B254" s="1" t="s">
        <v>41</v>
      </c>
      <c r="C254" s="1" t="s">
        <v>116</v>
      </c>
      <c r="D254" s="1" t="n">
        <v>3</v>
      </c>
      <c r="E254" s="1" t="n">
        <v>10</v>
      </c>
      <c r="F254" s="1" t="s">
        <v>43</v>
      </c>
      <c r="G254" s="1" t="s">
        <v>44</v>
      </c>
      <c r="H254" s="1" t="n">
        <v>91</v>
      </c>
      <c r="I254" s="1" t="n">
        <v>10485.93</v>
      </c>
      <c r="J254" s="1" t="n">
        <v>300</v>
      </c>
    </row>
    <row r="255" customFormat="false" ht="15" hidden="false" customHeight="true" outlineLevel="0" collapsed="false">
      <c r="A255" s="1" t="s">
        <v>120</v>
      </c>
      <c r="B255" s="1" t="s">
        <v>41</v>
      </c>
      <c r="C255" s="1" t="s">
        <v>116</v>
      </c>
      <c r="D255" s="1" t="n">
        <v>3</v>
      </c>
      <c r="E255" s="1" t="n">
        <v>10</v>
      </c>
      <c r="F255" s="1" t="s">
        <v>45</v>
      </c>
      <c r="G255" s="1" t="s">
        <v>46</v>
      </c>
      <c r="H255" s="1" t="n">
        <v>19</v>
      </c>
      <c r="I255" s="1" t="n">
        <v>1884.8</v>
      </c>
      <c r="J255" s="1" t="n">
        <v>300</v>
      </c>
    </row>
    <row r="256" customFormat="false" ht="15" hidden="false" customHeight="true" outlineLevel="0" collapsed="false">
      <c r="A256" s="1" t="s">
        <v>120</v>
      </c>
      <c r="B256" s="1" t="s">
        <v>41</v>
      </c>
      <c r="C256" s="1" t="s">
        <v>116</v>
      </c>
      <c r="D256" s="1" t="n">
        <v>3</v>
      </c>
      <c r="E256" s="1" t="n">
        <v>10</v>
      </c>
      <c r="F256" s="1" t="s">
        <v>47</v>
      </c>
      <c r="G256" s="1" t="s">
        <v>48</v>
      </c>
      <c r="H256" s="1" t="n">
        <v>29</v>
      </c>
      <c r="I256" s="1" t="n">
        <v>2661.04</v>
      </c>
      <c r="J256" s="1" t="n">
        <v>300</v>
      </c>
    </row>
    <row r="257" customFormat="false" ht="15" hidden="false" customHeight="true" outlineLevel="0" collapsed="false">
      <c r="A257" s="1" t="s">
        <v>120</v>
      </c>
      <c r="B257" s="1" t="s">
        <v>41</v>
      </c>
      <c r="C257" s="1" t="s">
        <v>116</v>
      </c>
      <c r="D257" s="1" t="n">
        <v>3</v>
      </c>
      <c r="E257" s="1" t="n">
        <v>10</v>
      </c>
      <c r="F257" s="1" t="s">
        <v>49</v>
      </c>
      <c r="G257" s="1" t="s">
        <v>49</v>
      </c>
      <c r="H257" s="1" t="n">
        <v>31</v>
      </c>
      <c r="I257" s="1" t="n">
        <v>2767.06</v>
      </c>
      <c r="J257" s="1" t="n">
        <v>300</v>
      </c>
    </row>
    <row r="258" customFormat="false" ht="15" hidden="false" customHeight="true" outlineLevel="0" collapsed="false">
      <c r="A258" s="1" t="s">
        <v>121</v>
      </c>
      <c r="B258" s="1" t="s">
        <v>51</v>
      </c>
      <c r="C258" s="1" t="s">
        <v>116</v>
      </c>
      <c r="D258" s="1" t="n">
        <v>3</v>
      </c>
      <c r="E258" s="1" t="n">
        <v>10</v>
      </c>
      <c r="F258" s="1" t="s">
        <v>43</v>
      </c>
      <c r="G258" s="1" t="s">
        <v>44</v>
      </c>
      <c r="H258" s="1" t="n">
        <v>95</v>
      </c>
      <c r="I258" s="1" t="n">
        <v>10662.8</v>
      </c>
      <c r="J258" s="1" t="n">
        <v>300</v>
      </c>
    </row>
    <row r="259" customFormat="false" ht="15" hidden="false" customHeight="true" outlineLevel="0" collapsed="false">
      <c r="A259" s="1" t="s">
        <v>121</v>
      </c>
      <c r="B259" s="1" t="s">
        <v>51</v>
      </c>
      <c r="C259" s="1" t="s">
        <v>116</v>
      </c>
      <c r="D259" s="1" t="n">
        <v>3</v>
      </c>
      <c r="E259" s="1" t="n">
        <v>10</v>
      </c>
      <c r="F259" s="1" t="s">
        <v>45</v>
      </c>
      <c r="G259" s="1" t="s">
        <v>46</v>
      </c>
      <c r="H259" s="1" t="n">
        <v>19</v>
      </c>
      <c r="I259" s="1" t="n">
        <v>2077.84</v>
      </c>
      <c r="J259" s="1" t="n">
        <v>300</v>
      </c>
    </row>
    <row r="260" customFormat="false" ht="15" hidden="false" customHeight="true" outlineLevel="0" collapsed="false">
      <c r="A260" s="1" t="s">
        <v>121</v>
      </c>
      <c r="B260" s="1" t="s">
        <v>51</v>
      </c>
      <c r="C260" s="1" t="s">
        <v>116</v>
      </c>
      <c r="D260" s="1" t="n">
        <v>3</v>
      </c>
      <c r="E260" s="1" t="n">
        <v>10</v>
      </c>
      <c r="F260" s="1" t="s">
        <v>47</v>
      </c>
      <c r="G260" s="1" t="s">
        <v>48</v>
      </c>
      <c r="H260" s="1" t="n">
        <v>30</v>
      </c>
      <c r="I260" s="1" t="n">
        <v>2727.3</v>
      </c>
      <c r="J260" s="1" t="n">
        <v>300</v>
      </c>
    </row>
    <row r="261" customFormat="false" ht="15" hidden="false" customHeight="true" outlineLevel="0" collapsed="false">
      <c r="A261" s="1" t="s">
        <v>121</v>
      </c>
      <c r="B261" s="1" t="s">
        <v>51</v>
      </c>
      <c r="C261" s="1" t="s">
        <v>116</v>
      </c>
      <c r="D261" s="1" t="n">
        <v>3</v>
      </c>
      <c r="E261" s="1" t="n">
        <v>10</v>
      </c>
      <c r="F261" s="1" t="s">
        <v>49</v>
      </c>
      <c r="G261" s="1" t="s">
        <v>49</v>
      </c>
      <c r="H261" s="1" t="n">
        <v>31</v>
      </c>
      <c r="I261" s="1" t="n">
        <v>2900.67</v>
      </c>
      <c r="J261" s="1" t="n">
        <v>300</v>
      </c>
    </row>
    <row r="262" customFormat="false" ht="15" hidden="false" customHeight="true" outlineLevel="0" collapsed="false">
      <c r="A262" s="1" t="s">
        <v>122</v>
      </c>
      <c r="B262" s="1" t="s">
        <v>53</v>
      </c>
      <c r="C262" s="1" t="s">
        <v>116</v>
      </c>
      <c r="D262" s="1" t="n">
        <v>3</v>
      </c>
      <c r="E262" s="1" t="n">
        <v>10</v>
      </c>
      <c r="F262" s="1" t="s">
        <v>43</v>
      </c>
      <c r="G262" s="1" t="s">
        <v>44</v>
      </c>
      <c r="H262" s="1" t="n">
        <v>82</v>
      </c>
      <c r="I262" s="1" t="n">
        <v>10050.74</v>
      </c>
      <c r="J262" s="1" t="n">
        <v>300</v>
      </c>
    </row>
    <row r="263" customFormat="false" ht="15" hidden="false" customHeight="true" outlineLevel="0" collapsed="false">
      <c r="A263" s="1" t="s">
        <v>122</v>
      </c>
      <c r="B263" s="1" t="s">
        <v>53</v>
      </c>
      <c r="C263" s="1" t="s">
        <v>116</v>
      </c>
      <c r="D263" s="1" t="n">
        <v>3</v>
      </c>
      <c r="E263" s="1" t="n">
        <v>10</v>
      </c>
      <c r="F263" s="1" t="s">
        <v>45</v>
      </c>
      <c r="G263" s="1" t="s">
        <v>46</v>
      </c>
      <c r="H263" s="1" t="n">
        <v>19</v>
      </c>
      <c r="I263" s="1" t="n">
        <v>2055.8</v>
      </c>
      <c r="J263" s="1" t="n">
        <v>300</v>
      </c>
    </row>
    <row r="264" customFormat="false" ht="15" hidden="false" customHeight="true" outlineLevel="0" collapsed="false">
      <c r="A264" s="1" t="s">
        <v>122</v>
      </c>
      <c r="B264" s="1" t="s">
        <v>53</v>
      </c>
      <c r="C264" s="1" t="s">
        <v>116</v>
      </c>
      <c r="D264" s="1" t="n">
        <v>3</v>
      </c>
      <c r="E264" s="1" t="n">
        <v>10</v>
      </c>
      <c r="F264" s="1" t="s">
        <v>47</v>
      </c>
      <c r="G264" s="1" t="s">
        <v>48</v>
      </c>
      <c r="H264" s="1" t="n">
        <v>27</v>
      </c>
      <c r="I264" s="1" t="n">
        <v>2324.97</v>
      </c>
      <c r="J264" s="1" t="n">
        <v>300</v>
      </c>
    </row>
    <row r="265" customFormat="false" ht="15" hidden="false" customHeight="true" outlineLevel="0" collapsed="false">
      <c r="A265" s="1" t="s">
        <v>122</v>
      </c>
      <c r="B265" s="1" t="s">
        <v>53</v>
      </c>
      <c r="C265" s="1" t="s">
        <v>116</v>
      </c>
      <c r="D265" s="1" t="n">
        <v>3</v>
      </c>
      <c r="E265" s="1" t="n">
        <v>10</v>
      </c>
      <c r="F265" s="1" t="s">
        <v>49</v>
      </c>
      <c r="G265" s="1" t="s">
        <v>49</v>
      </c>
      <c r="H265" s="1" t="n">
        <v>26</v>
      </c>
      <c r="I265" s="1" t="n">
        <v>2334.54</v>
      </c>
      <c r="J265" s="1" t="n">
        <v>300</v>
      </c>
    </row>
    <row r="266" customFormat="false" ht="15" hidden="false" customHeight="true" outlineLevel="0" collapsed="false">
      <c r="A266" s="1" t="s">
        <v>123</v>
      </c>
      <c r="B266" s="1" t="s">
        <v>55</v>
      </c>
      <c r="C266" s="1" t="s">
        <v>116</v>
      </c>
      <c r="D266" s="1" t="n">
        <v>3</v>
      </c>
      <c r="E266" s="1" t="n">
        <v>10</v>
      </c>
      <c r="F266" s="1" t="s">
        <v>43</v>
      </c>
      <c r="G266" s="1" t="s">
        <v>44</v>
      </c>
      <c r="H266" s="1" t="n">
        <v>19</v>
      </c>
      <c r="I266" s="1" t="n">
        <v>2132.94</v>
      </c>
      <c r="J266" s="1" t="n">
        <v>300</v>
      </c>
    </row>
    <row r="267" customFormat="false" ht="15" hidden="false" customHeight="true" outlineLevel="0" collapsed="false">
      <c r="A267" s="1" t="s">
        <v>123</v>
      </c>
      <c r="B267" s="1" t="s">
        <v>55</v>
      </c>
      <c r="C267" s="1" t="s">
        <v>116</v>
      </c>
      <c r="D267" s="1" t="n">
        <v>3</v>
      </c>
      <c r="E267" s="1" t="n">
        <v>10</v>
      </c>
      <c r="F267" s="1" t="s">
        <v>45</v>
      </c>
      <c r="G267" s="1" t="s">
        <v>46</v>
      </c>
      <c r="H267" s="1" t="n">
        <v>59</v>
      </c>
      <c r="I267" s="1" t="n">
        <v>5557.21</v>
      </c>
      <c r="J267" s="1" t="n">
        <v>300</v>
      </c>
    </row>
    <row r="268" customFormat="false" ht="15" hidden="false" customHeight="true" outlineLevel="0" collapsed="false">
      <c r="A268" s="1" t="s">
        <v>123</v>
      </c>
      <c r="B268" s="1" t="s">
        <v>55</v>
      </c>
      <c r="C268" s="1" t="s">
        <v>116</v>
      </c>
      <c r="D268" s="1" t="n">
        <v>3</v>
      </c>
      <c r="E268" s="1" t="n">
        <v>10</v>
      </c>
      <c r="F268" s="1" t="s">
        <v>47</v>
      </c>
      <c r="G268" s="1" t="s">
        <v>48</v>
      </c>
      <c r="H268" s="1" t="n">
        <v>15</v>
      </c>
      <c r="I268" s="1" t="n">
        <v>1343.25</v>
      </c>
      <c r="J268" s="1" t="n">
        <v>300</v>
      </c>
    </row>
    <row r="269" customFormat="false" ht="15" hidden="false" customHeight="true" outlineLevel="0" collapsed="false">
      <c r="A269" s="1" t="s">
        <v>123</v>
      </c>
      <c r="B269" s="1" t="s">
        <v>55</v>
      </c>
      <c r="C269" s="1" t="s">
        <v>116</v>
      </c>
      <c r="D269" s="1" t="n">
        <v>3</v>
      </c>
      <c r="E269" s="1" t="n">
        <v>10</v>
      </c>
      <c r="F269" s="1" t="s">
        <v>49</v>
      </c>
      <c r="G269" s="1" t="s">
        <v>49</v>
      </c>
      <c r="H269" s="1" t="n">
        <v>36</v>
      </c>
      <c r="I269" s="1" t="n">
        <v>3232.08</v>
      </c>
      <c r="J269" s="1" t="n">
        <v>300</v>
      </c>
    </row>
    <row r="270" customFormat="false" ht="15" hidden="false" customHeight="true" outlineLevel="0" collapsed="false">
      <c r="A270" s="1" t="s">
        <v>124</v>
      </c>
      <c r="B270" s="1" t="s">
        <v>57</v>
      </c>
      <c r="C270" s="1" t="s">
        <v>116</v>
      </c>
      <c r="D270" s="1" t="n">
        <v>3</v>
      </c>
      <c r="E270" s="1" t="n">
        <v>10</v>
      </c>
      <c r="F270" s="1" t="s">
        <v>43</v>
      </c>
      <c r="G270" s="1" t="s">
        <v>44</v>
      </c>
      <c r="H270" s="1" t="n">
        <v>17</v>
      </c>
      <c r="I270" s="1" t="n">
        <v>1971.32</v>
      </c>
      <c r="J270" s="1" t="n">
        <v>300</v>
      </c>
    </row>
    <row r="271" customFormat="false" ht="15" hidden="false" customHeight="true" outlineLevel="0" collapsed="false">
      <c r="A271" s="1" t="s">
        <v>124</v>
      </c>
      <c r="B271" s="1" t="s">
        <v>57</v>
      </c>
      <c r="C271" s="1" t="s">
        <v>116</v>
      </c>
      <c r="D271" s="1" t="n">
        <v>3</v>
      </c>
      <c r="E271" s="1" t="n">
        <v>10</v>
      </c>
      <c r="F271" s="1" t="s">
        <v>45</v>
      </c>
      <c r="G271" s="1" t="s">
        <v>46</v>
      </c>
      <c r="H271" s="1" t="n">
        <v>61</v>
      </c>
      <c r="I271" s="1" t="n">
        <v>6161</v>
      </c>
      <c r="J271" s="1" t="n">
        <v>300</v>
      </c>
    </row>
    <row r="272" customFormat="false" ht="15" hidden="false" customHeight="true" outlineLevel="0" collapsed="false">
      <c r="A272" s="1" t="s">
        <v>124</v>
      </c>
      <c r="B272" s="1" t="s">
        <v>57</v>
      </c>
      <c r="C272" s="1" t="s">
        <v>116</v>
      </c>
      <c r="D272" s="1" t="n">
        <v>3</v>
      </c>
      <c r="E272" s="1" t="n">
        <v>10</v>
      </c>
      <c r="F272" s="1" t="s">
        <v>47</v>
      </c>
      <c r="G272" s="1" t="s">
        <v>48</v>
      </c>
      <c r="H272" s="1" t="n">
        <v>16</v>
      </c>
      <c r="I272" s="1" t="n">
        <v>1440.48</v>
      </c>
      <c r="J272" s="1" t="n">
        <v>300</v>
      </c>
    </row>
    <row r="273" customFormat="false" ht="15" hidden="false" customHeight="true" outlineLevel="0" collapsed="false">
      <c r="A273" s="1" t="s">
        <v>124</v>
      </c>
      <c r="B273" s="1" t="s">
        <v>57</v>
      </c>
      <c r="C273" s="1" t="s">
        <v>116</v>
      </c>
      <c r="D273" s="1" t="n">
        <v>3</v>
      </c>
      <c r="E273" s="1" t="n">
        <v>10</v>
      </c>
      <c r="F273" s="1" t="s">
        <v>49</v>
      </c>
      <c r="G273" s="1" t="s">
        <v>49</v>
      </c>
      <c r="H273" s="1" t="n">
        <v>41</v>
      </c>
      <c r="I273" s="1" t="n">
        <v>3988.07</v>
      </c>
      <c r="J273" s="1" t="n">
        <v>300</v>
      </c>
    </row>
    <row r="274" customFormat="false" ht="15" hidden="false" customHeight="true" outlineLevel="0" collapsed="false">
      <c r="A274" s="1" t="s">
        <v>125</v>
      </c>
      <c r="B274" s="1" t="s">
        <v>59</v>
      </c>
      <c r="C274" s="1" t="s">
        <v>116</v>
      </c>
      <c r="D274" s="1" t="n">
        <v>3</v>
      </c>
      <c r="E274" s="1" t="n">
        <v>11</v>
      </c>
      <c r="F274" s="1" t="s">
        <v>43</v>
      </c>
      <c r="G274" s="1" t="s">
        <v>44</v>
      </c>
      <c r="H274" s="1" t="n">
        <v>75</v>
      </c>
      <c r="I274" s="1" t="n">
        <v>8477.25</v>
      </c>
      <c r="J274" s="1" t="n">
        <v>300</v>
      </c>
    </row>
    <row r="275" customFormat="false" ht="15" hidden="false" customHeight="true" outlineLevel="0" collapsed="false">
      <c r="A275" s="1" t="s">
        <v>125</v>
      </c>
      <c r="B275" s="1" t="s">
        <v>59</v>
      </c>
      <c r="C275" s="1" t="s">
        <v>116</v>
      </c>
      <c r="D275" s="1" t="n">
        <v>3</v>
      </c>
      <c r="E275" s="1" t="n">
        <v>11</v>
      </c>
      <c r="F275" s="1" t="s">
        <v>45</v>
      </c>
      <c r="G275" s="1" t="s">
        <v>46</v>
      </c>
      <c r="H275" s="1" t="n">
        <v>21</v>
      </c>
      <c r="I275" s="1" t="n">
        <v>2170.35</v>
      </c>
      <c r="J275" s="1" t="n">
        <v>300</v>
      </c>
    </row>
    <row r="276" customFormat="false" ht="15" hidden="false" customHeight="true" outlineLevel="0" collapsed="false">
      <c r="A276" s="1" t="s">
        <v>125</v>
      </c>
      <c r="B276" s="1" t="s">
        <v>59</v>
      </c>
      <c r="C276" s="1" t="s">
        <v>116</v>
      </c>
      <c r="D276" s="1" t="n">
        <v>3</v>
      </c>
      <c r="E276" s="1" t="n">
        <v>11</v>
      </c>
      <c r="F276" s="1" t="s">
        <v>47</v>
      </c>
      <c r="G276" s="1" t="s">
        <v>48</v>
      </c>
      <c r="H276" s="1" t="n">
        <v>30</v>
      </c>
      <c r="I276" s="1" t="n">
        <v>2792.1</v>
      </c>
      <c r="J276" s="1" t="n">
        <v>300</v>
      </c>
    </row>
    <row r="277" customFormat="false" ht="15" hidden="false" customHeight="true" outlineLevel="0" collapsed="false">
      <c r="A277" s="1" t="s">
        <v>125</v>
      </c>
      <c r="B277" s="1" t="s">
        <v>59</v>
      </c>
      <c r="C277" s="1" t="s">
        <v>116</v>
      </c>
      <c r="D277" s="1" t="n">
        <v>3</v>
      </c>
      <c r="E277" s="1" t="n">
        <v>11</v>
      </c>
      <c r="F277" s="1" t="s">
        <v>49</v>
      </c>
      <c r="G277" s="1" t="s">
        <v>49</v>
      </c>
      <c r="H277" s="1" t="n">
        <v>31</v>
      </c>
      <c r="I277" s="1" t="n">
        <v>2749.39</v>
      </c>
      <c r="J277" s="1" t="n">
        <v>300</v>
      </c>
    </row>
    <row r="278" customFormat="false" ht="15" hidden="false" customHeight="true" outlineLevel="0" collapsed="false">
      <c r="A278" s="1" t="s">
        <v>126</v>
      </c>
      <c r="B278" s="1" t="s">
        <v>61</v>
      </c>
      <c r="C278" s="1" t="s">
        <v>116</v>
      </c>
      <c r="D278" s="1" t="n">
        <v>3</v>
      </c>
      <c r="E278" s="1" t="n">
        <v>11</v>
      </c>
      <c r="F278" s="1" t="s">
        <v>43</v>
      </c>
      <c r="G278" s="1" t="s">
        <v>44</v>
      </c>
      <c r="H278" s="1" t="n">
        <v>107</v>
      </c>
      <c r="I278" s="1" t="n">
        <v>12895.64</v>
      </c>
      <c r="J278" s="1" t="n">
        <v>300</v>
      </c>
    </row>
    <row r="279" customFormat="false" ht="15" hidden="false" customHeight="true" outlineLevel="0" collapsed="false">
      <c r="A279" s="1" t="s">
        <v>126</v>
      </c>
      <c r="B279" s="1" t="s">
        <v>61</v>
      </c>
      <c r="C279" s="1" t="s">
        <v>116</v>
      </c>
      <c r="D279" s="1" t="n">
        <v>3</v>
      </c>
      <c r="E279" s="1" t="n">
        <v>11</v>
      </c>
      <c r="F279" s="1" t="s">
        <v>45</v>
      </c>
      <c r="G279" s="1" t="s">
        <v>46</v>
      </c>
      <c r="H279" s="1" t="n">
        <v>21</v>
      </c>
      <c r="I279" s="1" t="n">
        <v>2142.63</v>
      </c>
      <c r="J279" s="1" t="n">
        <v>300</v>
      </c>
    </row>
    <row r="280" customFormat="false" ht="15" hidden="false" customHeight="true" outlineLevel="0" collapsed="false">
      <c r="A280" s="1" t="s">
        <v>126</v>
      </c>
      <c r="B280" s="1" t="s">
        <v>61</v>
      </c>
      <c r="C280" s="1" t="s">
        <v>116</v>
      </c>
      <c r="D280" s="1" t="n">
        <v>3</v>
      </c>
      <c r="E280" s="1" t="n">
        <v>11</v>
      </c>
      <c r="F280" s="1" t="s">
        <v>47</v>
      </c>
      <c r="G280" s="1" t="s">
        <v>48</v>
      </c>
      <c r="H280" s="1" t="n">
        <v>27</v>
      </c>
      <c r="I280" s="1" t="n">
        <v>2539.89</v>
      </c>
      <c r="J280" s="1" t="n">
        <v>300</v>
      </c>
    </row>
    <row r="281" customFormat="false" ht="15" hidden="false" customHeight="true" outlineLevel="0" collapsed="false">
      <c r="A281" s="1" t="s">
        <v>126</v>
      </c>
      <c r="B281" s="1" t="s">
        <v>61</v>
      </c>
      <c r="C281" s="1" t="s">
        <v>116</v>
      </c>
      <c r="D281" s="1" t="n">
        <v>3</v>
      </c>
      <c r="E281" s="1" t="n">
        <v>11</v>
      </c>
      <c r="F281" s="1" t="s">
        <v>49</v>
      </c>
      <c r="G281" s="1" t="s">
        <v>49</v>
      </c>
      <c r="H281" s="1" t="n">
        <v>32</v>
      </c>
      <c r="I281" s="1" t="n">
        <v>2792.64</v>
      </c>
      <c r="J281" s="1" t="n">
        <v>300</v>
      </c>
    </row>
    <row r="282" customFormat="false" ht="15" hidden="false" customHeight="true" outlineLevel="0" collapsed="false">
      <c r="A282" s="1" t="s">
        <v>127</v>
      </c>
      <c r="B282" s="1" t="s">
        <v>41</v>
      </c>
      <c r="C282" s="1" t="s">
        <v>116</v>
      </c>
      <c r="D282" s="1" t="n">
        <v>3</v>
      </c>
      <c r="E282" s="1" t="n">
        <v>11</v>
      </c>
      <c r="F282" s="1" t="s">
        <v>43</v>
      </c>
      <c r="G282" s="1" t="s">
        <v>44</v>
      </c>
      <c r="H282" s="1" t="n">
        <v>99</v>
      </c>
      <c r="I282" s="1" t="n">
        <v>13214.52</v>
      </c>
      <c r="J282" s="1" t="n">
        <v>300</v>
      </c>
    </row>
    <row r="283" customFormat="false" ht="15" hidden="false" customHeight="true" outlineLevel="0" collapsed="false">
      <c r="A283" s="1" t="s">
        <v>127</v>
      </c>
      <c r="B283" s="1" t="s">
        <v>41</v>
      </c>
      <c r="C283" s="1" t="s">
        <v>116</v>
      </c>
      <c r="D283" s="1" t="n">
        <v>3</v>
      </c>
      <c r="E283" s="1" t="n">
        <v>11</v>
      </c>
      <c r="F283" s="1" t="s">
        <v>45</v>
      </c>
      <c r="G283" s="1" t="s">
        <v>46</v>
      </c>
      <c r="H283" s="1" t="n">
        <v>22</v>
      </c>
      <c r="I283" s="1" t="n">
        <v>2256.54</v>
      </c>
      <c r="J283" s="1" t="n">
        <v>300</v>
      </c>
    </row>
    <row r="284" customFormat="false" ht="15" hidden="false" customHeight="true" outlineLevel="0" collapsed="false">
      <c r="A284" s="1" t="s">
        <v>127</v>
      </c>
      <c r="B284" s="1" t="s">
        <v>41</v>
      </c>
      <c r="C284" s="1" t="s">
        <v>116</v>
      </c>
      <c r="D284" s="1" t="n">
        <v>3</v>
      </c>
      <c r="E284" s="1" t="n">
        <v>11</v>
      </c>
      <c r="F284" s="1" t="s">
        <v>47</v>
      </c>
      <c r="G284" s="1" t="s">
        <v>48</v>
      </c>
      <c r="H284" s="1" t="n">
        <v>32</v>
      </c>
      <c r="I284" s="1" t="n">
        <v>3014.72</v>
      </c>
      <c r="J284" s="1" t="n">
        <v>300</v>
      </c>
    </row>
    <row r="285" customFormat="false" ht="15" hidden="false" customHeight="true" outlineLevel="0" collapsed="false">
      <c r="A285" s="1" t="s">
        <v>127</v>
      </c>
      <c r="B285" s="1" t="s">
        <v>41</v>
      </c>
      <c r="C285" s="1" t="s">
        <v>116</v>
      </c>
      <c r="D285" s="1" t="n">
        <v>3</v>
      </c>
      <c r="E285" s="1" t="n">
        <v>11</v>
      </c>
      <c r="F285" s="1" t="s">
        <v>49</v>
      </c>
      <c r="G285" s="1" t="s">
        <v>49</v>
      </c>
      <c r="H285" s="1" t="n">
        <v>25</v>
      </c>
      <c r="I285" s="1" t="n">
        <v>2103</v>
      </c>
      <c r="J285" s="1" t="n">
        <v>300</v>
      </c>
    </row>
    <row r="286" customFormat="false" ht="15" hidden="false" customHeight="true" outlineLevel="0" collapsed="false">
      <c r="A286" s="1" t="s">
        <v>128</v>
      </c>
      <c r="B286" s="1" t="s">
        <v>51</v>
      </c>
      <c r="C286" s="1" t="s">
        <v>116</v>
      </c>
      <c r="D286" s="1" t="n">
        <v>3</v>
      </c>
      <c r="E286" s="1" t="n">
        <v>11</v>
      </c>
      <c r="F286" s="1" t="s">
        <v>43</v>
      </c>
      <c r="G286" s="1" t="s">
        <v>44</v>
      </c>
      <c r="H286" s="1" t="n">
        <v>81</v>
      </c>
      <c r="I286" s="1" t="n">
        <v>9412.2</v>
      </c>
      <c r="J286" s="1" t="n">
        <v>300</v>
      </c>
    </row>
    <row r="287" customFormat="false" ht="15" hidden="false" customHeight="true" outlineLevel="0" collapsed="false">
      <c r="A287" s="1" t="s">
        <v>128</v>
      </c>
      <c r="B287" s="1" t="s">
        <v>51</v>
      </c>
      <c r="C287" s="1" t="s">
        <v>116</v>
      </c>
      <c r="D287" s="1" t="n">
        <v>3</v>
      </c>
      <c r="E287" s="1" t="n">
        <v>11</v>
      </c>
      <c r="F287" s="1" t="s">
        <v>45</v>
      </c>
      <c r="G287" s="1" t="s">
        <v>46</v>
      </c>
      <c r="H287" s="1" t="n">
        <v>20</v>
      </c>
      <c r="I287" s="1" t="n">
        <v>2302.8</v>
      </c>
      <c r="J287" s="1" t="n">
        <v>300</v>
      </c>
    </row>
    <row r="288" customFormat="false" ht="15" hidden="false" customHeight="true" outlineLevel="0" collapsed="false">
      <c r="A288" s="1" t="s">
        <v>128</v>
      </c>
      <c r="B288" s="1" t="s">
        <v>51</v>
      </c>
      <c r="C288" s="1" t="s">
        <v>116</v>
      </c>
      <c r="D288" s="1" t="n">
        <v>3</v>
      </c>
      <c r="E288" s="1" t="n">
        <v>11</v>
      </c>
      <c r="F288" s="1" t="s">
        <v>47</v>
      </c>
      <c r="G288" s="1" t="s">
        <v>48</v>
      </c>
      <c r="H288" s="1" t="n">
        <v>29</v>
      </c>
      <c r="I288" s="1" t="n">
        <v>2763.7</v>
      </c>
      <c r="J288" s="1" t="n">
        <v>300</v>
      </c>
    </row>
    <row r="289" customFormat="false" ht="15" hidden="false" customHeight="true" outlineLevel="0" collapsed="false">
      <c r="A289" s="1" t="s">
        <v>128</v>
      </c>
      <c r="B289" s="1" t="s">
        <v>51</v>
      </c>
      <c r="C289" s="1" t="s">
        <v>116</v>
      </c>
      <c r="D289" s="1" t="n">
        <v>3</v>
      </c>
      <c r="E289" s="1" t="n">
        <v>11</v>
      </c>
      <c r="F289" s="1" t="s">
        <v>49</v>
      </c>
      <c r="G289" s="1" t="s">
        <v>49</v>
      </c>
      <c r="H289" s="1" t="n">
        <v>33</v>
      </c>
      <c r="I289" s="1" t="n">
        <v>2562.45</v>
      </c>
      <c r="J289" s="1" t="n">
        <v>300</v>
      </c>
    </row>
    <row r="290" customFormat="false" ht="15" hidden="false" customHeight="true" outlineLevel="0" collapsed="false">
      <c r="A290" s="1" t="s">
        <v>129</v>
      </c>
      <c r="B290" s="1" t="s">
        <v>53</v>
      </c>
      <c r="C290" s="1" t="s">
        <v>116</v>
      </c>
      <c r="D290" s="1" t="n">
        <v>3</v>
      </c>
      <c r="E290" s="1" t="n">
        <v>11</v>
      </c>
      <c r="F290" s="1" t="s">
        <v>43</v>
      </c>
      <c r="G290" s="1" t="s">
        <v>44</v>
      </c>
      <c r="H290" s="1" t="n">
        <v>99</v>
      </c>
      <c r="I290" s="1" t="n">
        <v>12294.81</v>
      </c>
      <c r="J290" s="1" t="n">
        <v>300</v>
      </c>
    </row>
    <row r="291" customFormat="false" ht="15" hidden="false" customHeight="true" outlineLevel="0" collapsed="false">
      <c r="A291" s="1" t="s">
        <v>129</v>
      </c>
      <c r="B291" s="1" t="s">
        <v>53</v>
      </c>
      <c r="C291" s="1" t="s">
        <v>116</v>
      </c>
      <c r="D291" s="1" t="n">
        <v>3</v>
      </c>
      <c r="E291" s="1" t="n">
        <v>11</v>
      </c>
      <c r="F291" s="1" t="s">
        <v>45</v>
      </c>
      <c r="G291" s="1" t="s">
        <v>46</v>
      </c>
      <c r="H291" s="1" t="n">
        <v>18</v>
      </c>
      <c r="I291" s="1" t="n">
        <v>2012.4</v>
      </c>
      <c r="J291" s="1" t="n">
        <v>300</v>
      </c>
    </row>
    <row r="292" customFormat="false" ht="15" hidden="false" customHeight="true" outlineLevel="0" collapsed="false">
      <c r="A292" s="1" t="s">
        <v>129</v>
      </c>
      <c r="B292" s="1" t="s">
        <v>53</v>
      </c>
      <c r="C292" s="1" t="s">
        <v>116</v>
      </c>
      <c r="D292" s="1" t="n">
        <v>3</v>
      </c>
      <c r="E292" s="1" t="n">
        <v>11</v>
      </c>
      <c r="F292" s="1" t="s">
        <v>47</v>
      </c>
      <c r="G292" s="1" t="s">
        <v>48</v>
      </c>
      <c r="H292" s="1" t="n">
        <v>29</v>
      </c>
      <c r="I292" s="1" t="n">
        <v>2730.93</v>
      </c>
      <c r="J292" s="1" t="n">
        <v>300</v>
      </c>
    </row>
    <row r="293" customFormat="false" ht="15" hidden="false" customHeight="true" outlineLevel="0" collapsed="false">
      <c r="A293" s="1" t="s">
        <v>129</v>
      </c>
      <c r="B293" s="1" t="s">
        <v>53</v>
      </c>
      <c r="C293" s="1" t="s">
        <v>116</v>
      </c>
      <c r="D293" s="1" t="n">
        <v>3</v>
      </c>
      <c r="E293" s="1" t="n">
        <v>11</v>
      </c>
      <c r="F293" s="1" t="s">
        <v>49</v>
      </c>
      <c r="G293" s="1" t="s">
        <v>49</v>
      </c>
      <c r="H293" s="1" t="n">
        <v>32</v>
      </c>
      <c r="I293" s="1" t="n">
        <v>3255.36</v>
      </c>
      <c r="J293" s="1" t="n">
        <v>300</v>
      </c>
    </row>
    <row r="294" customFormat="false" ht="15" hidden="false" customHeight="true" outlineLevel="0" collapsed="false">
      <c r="A294" s="1" t="s">
        <v>130</v>
      </c>
      <c r="B294" s="1" t="s">
        <v>55</v>
      </c>
      <c r="C294" s="1" t="s">
        <v>116</v>
      </c>
      <c r="D294" s="1" t="n">
        <v>3</v>
      </c>
      <c r="E294" s="1" t="n">
        <v>11</v>
      </c>
      <c r="F294" s="1" t="s">
        <v>43</v>
      </c>
      <c r="G294" s="1" t="s">
        <v>44</v>
      </c>
      <c r="H294" s="1" t="n">
        <v>19</v>
      </c>
      <c r="I294" s="1" t="n">
        <v>2288.93</v>
      </c>
      <c r="J294" s="1" t="n">
        <v>300</v>
      </c>
    </row>
    <row r="295" customFormat="false" ht="15" hidden="false" customHeight="true" outlineLevel="0" collapsed="false">
      <c r="A295" s="1" t="s">
        <v>130</v>
      </c>
      <c r="B295" s="1" t="s">
        <v>55</v>
      </c>
      <c r="C295" s="1" t="s">
        <v>116</v>
      </c>
      <c r="D295" s="1" t="n">
        <v>3</v>
      </c>
      <c r="E295" s="1" t="n">
        <v>11</v>
      </c>
      <c r="F295" s="1" t="s">
        <v>45</v>
      </c>
      <c r="G295" s="1" t="s">
        <v>46</v>
      </c>
      <c r="H295" s="1" t="n">
        <v>54</v>
      </c>
      <c r="I295" s="1" t="n">
        <v>5361.66</v>
      </c>
      <c r="J295" s="1" t="n">
        <v>300</v>
      </c>
    </row>
    <row r="296" customFormat="false" ht="15" hidden="false" customHeight="true" outlineLevel="0" collapsed="false">
      <c r="A296" s="1" t="s">
        <v>130</v>
      </c>
      <c r="B296" s="1" t="s">
        <v>55</v>
      </c>
      <c r="C296" s="1" t="s">
        <v>116</v>
      </c>
      <c r="D296" s="1" t="n">
        <v>3</v>
      </c>
      <c r="E296" s="1" t="n">
        <v>11</v>
      </c>
      <c r="F296" s="1" t="s">
        <v>47</v>
      </c>
      <c r="G296" s="1" t="s">
        <v>48</v>
      </c>
      <c r="H296" s="1" t="n">
        <v>16</v>
      </c>
      <c r="I296" s="1" t="n">
        <v>1465.76</v>
      </c>
      <c r="J296" s="1" t="n">
        <v>300</v>
      </c>
    </row>
    <row r="297" customFormat="false" ht="15" hidden="false" customHeight="true" outlineLevel="0" collapsed="false">
      <c r="A297" s="1" t="s">
        <v>130</v>
      </c>
      <c r="B297" s="1" t="s">
        <v>55</v>
      </c>
      <c r="C297" s="1" t="s">
        <v>116</v>
      </c>
      <c r="D297" s="1" t="n">
        <v>3</v>
      </c>
      <c r="E297" s="1" t="n">
        <v>11</v>
      </c>
      <c r="F297" s="1" t="s">
        <v>49</v>
      </c>
      <c r="G297" s="1" t="s">
        <v>49</v>
      </c>
      <c r="H297" s="1" t="n">
        <v>39</v>
      </c>
      <c r="I297" s="1" t="n">
        <v>3391.44</v>
      </c>
      <c r="J297" s="1" t="n">
        <v>300</v>
      </c>
    </row>
    <row r="298" customFormat="false" ht="15" hidden="false" customHeight="true" outlineLevel="0" collapsed="false">
      <c r="A298" s="1" t="s">
        <v>131</v>
      </c>
      <c r="B298" s="1" t="s">
        <v>57</v>
      </c>
      <c r="C298" s="1" t="s">
        <v>116</v>
      </c>
      <c r="D298" s="1" t="n">
        <v>3</v>
      </c>
      <c r="E298" s="1" t="n">
        <v>11</v>
      </c>
      <c r="F298" s="1" t="s">
        <v>43</v>
      </c>
      <c r="G298" s="1" t="s">
        <v>44</v>
      </c>
      <c r="H298" s="1" t="n">
        <v>19</v>
      </c>
      <c r="I298" s="1" t="n">
        <v>2300.52</v>
      </c>
      <c r="J298" s="1" t="n">
        <v>300</v>
      </c>
    </row>
    <row r="299" customFormat="false" ht="15" hidden="false" customHeight="true" outlineLevel="0" collapsed="false">
      <c r="A299" s="1" t="s">
        <v>131</v>
      </c>
      <c r="B299" s="1" t="s">
        <v>57</v>
      </c>
      <c r="C299" s="1" t="s">
        <v>116</v>
      </c>
      <c r="D299" s="1" t="n">
        <v>3</v>
      </c>
      <c r="E299" s="1" t="n">
        <v>11</v>
      </c>
      <c r="F299" s="1" t="s">
        <v>45</v>
      </c>
      <c r="G299" s="1" t="s">
        <v>46</v>
      </c>
      <c r="H299" s="1" t="n">
        <v>61</v>
      </c>
      <c r="I299" s="1" t="n">
        <v>6186.62</v>
      </c>
      <c r="J299" s="1" t="n">
        <v>300</v>
      </c>
    </row>
    <row r="300" customFormat="false" ht="15" hidden="false" customHeight="true" outlineLevel="0" collapsed="false">
      <c r="A300" s="1" t="s">
        <v>131</v>
      </c>
      <c r="B300" s="1" t="s">
        <v>57</v>
      </c>
      <c r="C300" s="1" t="s">
        <v>116</v>
      </c>
      <c r="D300" s="1" t="n">
        <v>3</v>
      </c>
      <c r="E300" s="1" t="n">
        <v>11</v>
      </c>
      <c r="F300" s="1" t="s">
        <v>47</v>
      </c>
      <c r="G300" s="1" t="s">
        <v>48</v>
      </c>
      <c r="H300" s="1" t="n">
        <v>15</v>
      </c>
      <c r="I300" s="1" t="n">
        <v>1363.5</v>
      </c>
      <c r="J300" s="1" t="n">
        <v>300</v>
      </c>
    </row>
    <row r="301" customFormat="false" ht="15" hidden="false" customHeight="true" outlineLevel="0" collapsed="false">
      <c r="A301" s="1" t="s">
        <v>131</v>
      </c>
      <c r="B301" s="1" t="s">
        <v>57</v>
      </c>
      <c r="C301" s="1" t="s">
        <v>116</v>
      </c>
      <c r="D301" s="1" t="n">
        <v>3</v>
      </c>
      <c r="E301" s="1" t="n">
        <v>11</v>
      </c>
      <c r="F301" s="1" t="s">
        <v>49</v>
      </c>
      <c r="G301" s="1" t="s">
        <v>49</v>
      </c>
      <c r="H301" s="1" t="n">
        <v>37</v>
      </c>
      <c r="I301" s="1" t="n">
        <v>3387.72</v>
      </c>
      <c r="J301" s="1" t="n">
        <v>300</v>
      </c>
    </row>
    <row r="302" customFormat="false" ht="15" hidden="false" customHeight="true" outlineLevel="0" collapsed="false">
      <c r="A302" s="1" t="s">
        <v>132</v>
      </c>
      <c r="B302" s="1" t="s">
        <v>59</v>
      </c>
      <c r="C302" s="1" t="s">
        <v>116</v>
      </c>
      <c r="D302" s="1" t="n">
        <v>3</v>
      </c>
      <c r="E302" s="1" t="n">
        <v>12</v>
      </c>
      <c r="F302" s="1" t="s">
        <v>43</v>
      </c>
      <c r="G302" s="1" t="s">
        <v>44</v>
      </c>
      <c r="H302" s="1" t="n">
        <v>104</v>
      </c>
      <c r="I302" s="1" t="n">
        <v>11662.56</v>
      </c>
      <c r="J302" s="1" t="n">
        <v>300</v>
      </c>
    </row>
    <row r="303" customFormat="false" ht="15" hidden="false" customHeight="true" outlineLevel="0" collapsed="false">
      <c r="A303" s="1" t="s">
        <v>132</v>
      </c>
      <c r="B303" s="1" t="s">
        <v>59</v>
      </c>
      <c r="C303" s="1" t="s">
        <v>116</v>
      </c>
      <c r="D303" s="1" t="n">
        <v>3</v>
      </c>
      <c r="E303" s="1" t="n">
        <v>12</v>
      </c>
      <c r="F303" s="1" t="s">
        <v>45</v>
      </c>
      <c r="G303" s="1" t="s">
        <v>46</v>
      </c>
      <c r="H303" s="1" t="n">
        <v>22</v>
      </c>
      <c r="I303" s="1" t="n">
        <v>2488.86</v>
      </c>
      <c r="J303" s="1" t="n">
        <v>300</v>
      </c>
    </row>
    <row r="304" customFormat="false" ht="15" hidden="false" customHeight="true" outlineLevel="0" collapsed="false">
      <c r="A304" s="1" t="s">
        <v>132</v>
      </c>
      <c r="B304" s="1" t="s">
        <v>59</v>
      </c>
      <c r="C304" s="1" t="s">
        <v>116</v>
      </c>
      <c r="D304" s="1" t="n">
        <v>3</v>
      </c>
      <c r="E304" s="1" t="n">
        <v>12</v>
      </c>
      <c r="F304" s="1" t="s">
        <v>47</v>
      </c>
      <c r="G304" s="1" t="s">
        <v>48</v>
      </c>
      <c r="H304" s="1" t="n">
        <v>30</v>
      </c>
      <c r="I304" s="1" t="n">
        <v>3223.5</v>
      </c>
      <c r="J304" s="1" t="n">
        <v>300</v>
      </c>
    </row>
    <row r="305" customFormat="false" ht="15" hidden="false" customHeight="true" outlineLevel="0" collapsed="false">
      <c r="A305" s="1" t="s">
        <v>132</v>
      </c>
      <c r="B305" s="1" t="s">
        <v>59</v>
      </c>
      <c r="C305" s="1" t="s">
        <v>116</v>
      </c>
      <c r="D305" s="1" t="n">
        <v>3</v>
      </c>
      <c r="E305" s="1" t="n">
        <v>12</v>
      </c>
      <c r="F305" s="1" t="s">
        <v>49</v>
      </c>
      <c r="G305" s="1" t="s">
        <v>49</v>
      </c>
      <c r="H305" s="1" t="n">
        <v>28</v>
      </c>
      <c r="I305" s="1" t="n">
        <v>2319.52</v>
      </c>
      <c r="J305" s="1" t="n">
        <v>300</v>
      </c>
    </row>
    <row r="306" customFormat="false" ht="15" hidden="false" customHeight="true" outlineLevel="0" collapsed="false">
      <c r="A306" s="1" t="s">
        <v>133</v>
      </c>
      <c r="B306" s="1" t="s">
        <v>61</v>
      </c>
      <c r="C306" s="1" t="s">
        <v>116</v>
      </c>
      <c r="D306" s="1" t="n">
        <v>3</v>
      </c>
      <c r="E306" s="1" t="n">
        <v>12</v>
      </c>
      <c r="F306" s="1" t="s">
        <v>43</v>
      </c>
      <c r="G306" s="1" t="s">
        <v>44</v>
      </c>
      <c r="H306" s="1" t="n">
        <v>81</v>
      </c>
      <c r="I306" s="1" t="n">
        <v>10478.16</v>
      </c>
      <c r="J306" s="1" t="n">
        <v>300</v>
      </c>
    </row>
    <row r="307" customFormat="false" ht="15" hidden="false" customHeight="true" outlineLevel="0" collapsed="false">
      <c r="A307" s="1" t="s">
        <v>133</v>
      </c>
      <c r="B307" s="1" t="s">
        <v>61</v>
      </c>
      <c r="C307" s="1" t="s">
        <v>116</v>
      </c>
      <c r="D307" s="1" t="n">
        <v>3</v>
      </c>
      <c r="E307" s="1" t="n">
        <v>12</v>
      </c>
      <c r="F307" s="1" t="s">
        <v>45</v>
      </c>
      <c r="G307" s="1" t="s">
        <v>46</v>
      </c>
      <c r="H307" s="1" t="n">
        <v>22</v>
      </c>
      <c r="I307" s="1" t="n">
        <v>2293.94</v>
      </c>
      <c r="J307" s="1" t="n">
        <v>300</v>
      </c>
    </row>
    <row r="308" customFormat="false" ht="15" hidden="false" customHeight="true" outlineLevel="0" collapsed="false">
      <c r="A308" s="1" t="s">
        <v>133</v>
      </c>
      <c r="B308" s="1" t="s">
        <v>61</v>
      </c>
      <c r="C308" s="1" t="s">
        <v>116</v>
      </c>
      <c r="D308" s="1" t="n">
        <v>3</v>
      </c>
      <c r="E308" s="1" t="n">
        <v>12</v>
      </c>
      <c r="F308" s="1" t="s">
        <v>47</v>
      </c>
      <c r="G308" s="1" t="s">
        <v>48</v>
      </c>
      <c r="H308" s="1" t="n">
        <v>29</v>
      </c>
      <c r="I308" s="1" t="n">
        <v>2611.45</v>
      </c>
      <c r="J308" s="1" t="n">
        <v>300</v>
      </c>
    </row>
    <row r="309" customFormat="false" ht="15" hidden="false" customHeight="true" outlineLevel="0" collapsed="false">
      <c r="A309" s="1" t="s">
        <v>133</v>
      </c>
      <c r="B309" s="1" t="s">
        <v>61</v>
      </c>
      <c r="C309" s="1" t="s">
        <v>116</v>
      </c>
      <c r="D309" s="1" t="n">
        <v>3</v>
      </c>
      <c r="E309" s="1" t="n">
        <v>12</v>
      </c>
      <c r="F309" s="1" t="s">
        <v>49</v>
      </c>
      <c r="G309" s="1" t="s">
        <v>49</v>
      </c>
      <c r="H309" s="1" t="n">
        <v>37</v>
      </c>
      <c r="I309" s="1" t="n">
        <v>3338.14</v>
      </c>
      <c r="J309" s="1" t="n">
        <v>300</v>
      </c>
    </row>
    <row r="310" customFormat="false" ht="15" hidden="false" customHeight="true" outlineLevel="0" collapsed="false">
      <c r="A310" s="1" t="s">
        <v>134</v>
      </c>
      <c r="B310" s="1" t="s">
        <v>41</v>
      </c>
      <c r="C310" s="1" t="s">
        <v>116</v>
      </c>
      <c r="D310" s="1" t="n">
        <v>3</v>
      </c>
      <c r="E310" s="1" t="n">
        <v>12</v>
      </c>
      <c r="F310" s="1" t="s">
        <v>43</v>
      </c>
      <c r="G310" s="1" t="s">
        <v>44</v>
      </c>
      <c r="H310" s="1" t="n">
        <v>98</v>
      </c>
      <c r="I310" s="1" t="n">
        <v>12139.26</v>
      </c>
      <c r="J310" s="1" t="n">
        <v>300</v>
      </c>
    </row>
    <row r="311" customFormat="false" ht="15" hidden="false" customHeight="true" outlineLevel="0" collapsed="false">
      <c r="A311" s="1" t="s">
        <v>134</v>
      </c>
      <c r="B311" s="1" t="s">
        <v>41</v>
      </c>
      <c r="C311" s="1" t="s">
        <v>116</v>
      </c>
      <c r="D311" s="1" t="n">
        <v>3</v>
      </c>
      <c r="E311" s="1" t="n">
        <v>12</v>
      </c>
      <c r="F311" s="1" t="s">
        <v>45</v>
      </c>
      <c r="G311" s="1" t="s">
        <v>46</v>
      </c>
      <c r="H311" s="1" t="n">
        <v>21</v>
      </c>
      <c r="I311" s="1" t="n">
        <v>2226.63</v>
      </c>
      <c r="J311" s="1" t="n">
        <v>300</v>
      </c>
    </row>
    <row r="312" customFormat="false" ht="15" hidden="false" customHeight="true" outlineLevel="0" collapsed="false">
      <c r="A312" s="1" t="s">
        <v>134</v>
      </c>
      <c r="B312" s="1" t="s">
        <v>41</v>
      </c>
      <c r="C312" s="1" t="s">
        <v>116</v>
      </c>
      <c r="D312" s="1" t="n">
        <v>3</v>
      </c>
      <c r="E312" s="1" t="n">
        <v>12</v>
      </c>
      <c r="F312" s="1" t="s">
        <v>47</v>
      </c>
      <c r="G312" s="1" t="s">
        <v>48</v>
      </c>
      <c r="H312" s="1" t="n">
        <v>27</v>
      </c>
      <c r="I312" s="1" t="n">
        <v>2681.1</v>
      </c>
      <c r="J312" s="1" t="n">
        <v>300</v>
      </c>
    </row>
    <row r="313" customFormat="false" ht="15" hidden="false" customHeight="true" outlineLevel="0" collapsed="false">
      <c r="A313" s="1" t="s">
        <v>134</v>
      </c>
      <c r="B313" s="1" t="s">
        <v>41</v>
      </c>
      <c r="C313" s="1" t="s">
        <v>116</v>
      </c>
      <c r="D313" s="1" t="n">
        <v>3</v>
      </c>
      <c r="E313" s="1" t="n">
        <v>12</v>
      </c>
      <c r="F313" s="1" t="s">
        <v>49</v>
      </c>
      <c r="G313" s="1" t="s">
        <v>49</v>
      </c>
      <c r="H313" s="1" t="n">
        <v>36</v>
      </c>
      <c r="I313" s="1" t="n">
        <v>3483.36</v>
      </c>
      <c r="J313" s="1" t="n">
        <v>300</v>
      </c>
    </row>
    <row r="314" customFormat="false" ht="15" hidden="false" customHeight="true" outlineLevel="0" collapsed="false">
      <c r="A314" s="1" t="s">
        <v>135</v>
      </c>
      <c r="B314" s="1" t="s">
        <v>51</v>
      </c>
      <c r="C314" s="1" t="s">
        <v>116</v>
      </c>
      <c r="D314" s="1" t="n">
        <v>3</v>
      </c>
      <c r="E314" s="1" t="n">
        <v>12</v>
      </c>
      <c r="F314" s="1" t="s">
        <v>43</v>
      </c>
      <c r="G314" s="1" t="s">
        <v>44</v>
      </c>
      <c r="H314" s="1" t="n">
        <v>111</v>
      </c>
      <c r="I314" s="1" t="n">
        <v>12771.66</v>
      </c>
      <c r="J314" s="1" t="n">
        <v>300</v>
      </c>
    </row>
    <row r="315" customFormat="false" ht="15" hidden="false" customHeight="true" outlineLevel="0" collapsed="false">
      <c r="A315" s="1" t="s">
        <v>135</v>
      </c>
      <c r="B315" s="1" t="s">
        <v>51</v>
      </c>
      <c r="C315" s="1" t="s">
        <v>116</v>
      </c>
      <c r="D315" s="1" t="n">
        <v>3</v>
      </c>
      <c r="E315" s="1" t="n">
        <v>12</v>
      </c>
      <c r="F315" s="1" t="s">
        <v>45</v>
      </c>
      <c r="G315" s="1" t="s">
        <v>46</v>
      </c>
      <c r="H315" s="1" t="n">
        <v>19</v>
      </c>
      <c r="I315" s="1" t="n">
        <v>1972.77</v>
      </c>
      <c r="J315" s="1" t="n">
        <v>300</v>
      </c>
    </row>
    <row r="316" customFormat="false" ht="15" hidden="false" customHeight="true" outlineLevel="0" collapsed="false">
      <c r="A316" s="1" t="s">
        <v>135</v>
      </c>
      <c r="B316" s="1" t="s">
        <v>51</v>
      </c>
      <c r="C316" s="1" t="s">
        <v>116</v>
      </c>
      <c r="D316" s="1" t="n">
        <v>3</v>
      </c>
      <c r="E316" s="1" t="n">
        <v>12</v>
      </c>
      <c r="F316" s="1" t="s">
        <v>47</v>
      </c>
      <c r="G316" s="1" t="s">
        <v>48</v>
      </c>
      <c r="H316" s="1" t="n">
        <v>29</v>
      </c>
      <c r="I316" s="1" t="n">
        <v>2984.39</v>
      </c>
      <c r="J316" s="1" t="n">
        <v>300</v>
      </c>
    </row>
    <row r="317" customFormat="false" ht="15" hidden="false" customHeight="true" outlineLevel="0" collapsed="false">
      <c r="A317" s="1" t="s">
        <v>135</v>
      </c>
      <c r="B317" s="1" t="s">
        <v>51</v>
      </c>
      <c r="C317" s="1" t="s">
        <v>116</v>
      </c>
      <c r="D317" s="1" t="n">
        <v>3</v>
      </c>
      <c r="E317" s="1" t="n">
        <v>12</v>
      </c>
      <c r="F317" s="1" t="s">
        <v>49</v>
      </c>
      <c r="G317" s="1" t="s">
        <v>49</v>
      </c>
      <c r="H317" s="1" t="n">
        <v>26</v>
      </c>
      <c r="I317" s="1" t="n">
        <v>2541.5</v>
      </c>
      <c r="J317" s="1" t="n">
        <v>300</v>
      </c>
    </row>
    <row r="318" customFormat="false" ht="15" hidden="false" customHeight="true" outlineLevel="0" collapsed="false">
      <c r="A318" s="1" t="s">
        <v>136</v>
      </c>
      <c r="B318" s="1" t="s">
        <v>53</v>
      </c>
      <c r="C318" s="1" t="s">
        <v>116</v>
      </c>
      <c r="D318" s="1" t="n">
        <v>3</v>
      </c>
      <c r="E318" s="1" t="n">
        <v>12</v>
      </c>
      <c r="F318" s="1" t="s">
        <v>43</v>
      </c>
      <c r="G318" s="1" t="s">
        <v>44</v>
      </c>
      <c r="H318" s="1" t="n">
        <v>96</v>
      </c>
      <c r="I318" s="1" t="n">
        <v>11103.36</v>
      </c>
      <c r="J318" s="1" t="n">
        <v>300</v>
      </c>
    </row>
    <row r="319" customFormat="false" ht="15" hidden="false" customHeight="true" outlineLevel="0" collapsed="false">
      <c r="A319" s="1" t="s">
        <v>136</v>
      </c>
      <c r="B319" s="1" t="s">
        <v>53</v>
      </c>
      <c r="C319" s="1" t="s">
        <v>116</v>
      </c>
      <c r="D319" s="1" t="n">
        <v>3</v>
      </c>
      <c r="E319" s="1" t="n">
        <v>12</v>
      </c>
      <c r="F319" s="1" t="s">
        <v>45</v>
      </c>
      <c r="G319" s="1" t="s">
        <v>46</v>
      </c>
      <c r="H319" s="1" t="n">
        <v>19</v>
      </c>
      <c r="I319" s="1" t="n">
        <v>1790.37</v>
      </c>
      <c r="J319" s="1" t="n">
        <v>300</v>
      </c>
    </row>
    <row r="320" customFormat="false" ht="15" hidden="false" customHeight="true" outlineLevel="0" collapsed="false">
      <c r="A320" s="1" t="s">
        <v>136</v>
      </c>
      <c r="B320" s="1" t="s">
        <v>53</v>
      </c>
      <c r="C320" s="1" t="s">
        <v>116</v>
      </c>
      <c r="D320" s="1" t="n">
        <v>3</v>
      </c>
      <c r="E320" s="1" t="n">
        <v>12</v>
      </c>
      <c r="F320" s="1" t="s">
        <v>47</v>
      </c>
      <c r="G320" s="1" t="s">
        <v>48</v>
      </c>
      <c r="H320" s="1" t="n">
        <v>31</v>
      </c>
      <c r="I320" s="1" t="n">
        <v>3007</v>
      </c>
      <c r="J320" s="1" t="n">
        <v>300</v>
      </c>
    </row>
    <row r="321" customFormat="false" ht="15" hidden="false" customHeight="true" outlineLevel="0" collapsed="false">
      <c r="A321" s="1" t="s">
        <v>136</v>
      </c>
      <c r="B321" s="1" t="s">
        <v>53</v>
      </c>
      <c r="C321" s="1" t="s">
        <v>116</v>
      </c>
      <c r="D321" s="1" t="n">
        <v>3</v>
      </c>
      <c r="E321" s="1" t="n">
        <v>12</v>
      </c>
      <c r="F321" s="1" t="s">
        <v>49</v>
      </c>
      <c r="G321" s="1" t="s">
        <v>49</v>
      </c>
      <c r="H321" s="1" t="n">
        <v>27</v>
      </c>
      <c r="I321" s="1" t="n">
        <v>2229.39</v>
      </c>
      <c r="J321" s="1" t="n">
        <v>300</v>
      </c>
    </row>
    <row r="322" customFormat="false" ht="15" hidden="false" customHeight="true" outlineLevel="0" collapsed="false">
      <c r="A322" s="1" t="s">
        <v>137</v>
      </c>
      <c r="B322" s="1" t="s">
        <v>55</v>
      </c>
      <c r="C322" s="1" t="s">
        <v>116</v>
      </c>
      <c r="D322" s="1" t="n">
        <v>3</v>
      </c>
      <c r="E322" s="1" t="n">
        <v>12</v>
      </c>
      <c r="F322" s="1" t="s">
        <v>43</v>
      </c>
      <c r="G322" s="1" t="s">
        <v>44</v>
      </c>
      <c r="H322" s="1" t="n">
        <v>18</v>
      </c>
      <c r="I322" s="1" t="n">
        <v>2350.62</v>
      </c>
      <c r="J322" s="1" t="n">
        <v>300</v>
      </c>
    </row>
    <row r="323" customFormat="false" ht="15" hidden="false" customHeight="true" outlineLevel="0" collapsed="false">
      <c r="A323" s="1" t="s">
        <v>137</v>
      </c>
      <c r="B323" s="1" t="s">
        <v>55</v>
      </c>
      <c r="C323" s="1" t="s">
        <v>116</v>
      </c>
      <c r="D323" s="1" t="n">
        <v>3</v>
      </c>
      <c r="E323" s="1" t="n">
        <v>12</v>
      </c>
      <c r="F323" s="1" t="s">
        <v>45</v>
      </c>
      <c r="G323" s="1" t="s">
        <v>46</v>
      </c>
      <c r="H323" s="1" t="n">
        <v>55</v>
      </c>
      <c r="I323" s="1" t="n">
        <v>5234.9</v>
      </c>
      <c r="J323" s="1" t="n">
        <v>300</v>
      </c>
    </row>
    <row r="324" customFormat="false" ht="15" hidden="false" customHeight="true" outlineLevel="0" collapsed="false">
      <c r="A324" s="1" t="s">
        <v>137</v>
      </c>
      <c r="B324" s="1" t="s">
        <v>55</v>
      </c>
      <c r="C324" s="1" t="s">
        <v>116</v>
      </c>
      <c r="D324" s="1" t="n">
        <v>3</v>
      </c>
      <c r="E324" s="1" t="n">
        <v>12</v>
      </c>
      <c r="F324" s="1" t="s">
        <v>47</v>
      </c>
      <c r="G324" s="1" t="s">
        <v>48</v>
      </c>
      <c r="H324" s="1" t="n">
        <v>15</v>
      </c>
      <c r="I324" s="1" t="n">
        <v>1424.85</v>
      </c>
      <c r="J324" s="1" t="n">
        <v>300</v>
      </c>
    </row>
    <row r="325" customFormat="false" ht="15" hidden="false" customHeight="true" outlineLevel="0" collapsed="false">
      <c r="A325" s="1" t="s">
        <v>137</v>
      </c>
      <c r="B325" s="1" t="s">
        <v>55</v>
      </c>
      <c r="C325" s="1" t="s">
        <v>116</v>
      </c>
      <c r="D325" s="1" t="n">
        <v>3</v>
      </c>
      <c r="E325" s="1" t="n">
        <v>12</v>
      </c>
      <c r="F325" s="1" t="s">
        <v>49</v>
      </c>
      <c r="G325" s="1" t="s">
        <v>49</v>
      </c>
      <c r="H325" s="1" t="n">
        <v>29</v>
      </c>
      <c r="I325" s="1" t="n">
        <v>2587.96</v>
      </c>
      <c r="J325" s="1" t="n">
        <v>300</v>
      </c>
    </row>
    <row r="326" customFormat="false" ht="15" hidden="false" customHeight="true" outlineLevel="0" collapsed="false">
      <c r="A326" s="1" t="s">
        <v>138</v>
      </c>
      <c r="B326" s="1" t="s">
        <v>57</v>
      </c>
      <c r="C326" s="1" t="s">
        <v>116</v>
      </c>
      <c r="D326" s="1" t="n">
        <v>3</v>
      </c>
      <c r="E326" s="1" t="n">
        <v>12</v>
      </c>
      <c r="F326" s="1" t="s">
        <v>43</v>
      </c>
      <c r="G326" s="1" t="s">
        <v>44</v>
      </c>
      <c r="H326" s="1" t="n">
        <v>18</v>
      </c>
      <c r="I326" s="1" t="n">
        <v>2225.88</v>
      </c>
      <c r="J326" s="1" t="n">
        <v>300</v>
      </c>
    </row>
    <row r="327" customFormat="false" ht="15" hidden="false" customHeight="true" outlineLevel="0" collapsed="false">
      <c r="A327" s="1" t="s">
        <v>138</v>
      </c>
      <c r="B327" s="1" t="s">
        <v>57</v>
      </c>
      <c r="C327" s="1" t="s">
        <v>116</v>
      </c>
      <c r="D327" s="1" t="n">
        <v>3</v>
      </c>
      <c r="E327" s="1" t="n">
        <v>12</v>
      </c>
      <c r="F327" s="1" t="s">
        <v>45</v>
      </c>
      <c r="G327" s="1" t="s">
        <v>46</v>
      </c>
      <c r="H327" s="1" t="n">
        <v>65</v>
      </c>
      <c r="I327" s="1" t="n">
        <v>7259.85</v>
      </c>
      <c r="J327" s="1" t="n">
        <v>300</v>
      </c>
    </row>
    <row r="328" customFormat="false" ht="15" hidden="false" customHeight="true" outlineLevel="0" collapsed="false">
      <c r="A328" s="1" t="s">
        <v>138</v>
      </c>
      <c r="B328" s="1" t="s">
        <v>57</v>
      </c>
      <c r="C328" s="1" t="s">
        <v>116</v>
      </c>
      <c r="D328" s="1" t="n">
        <v>3</v>
      </c>
      <c r="E328" s="1" t="n">
        <v>12</v>
      </c>
      <c r="F328" s="1" t="s">
        <v>47</v>
      </c>
      <c r="G328" s="1" t="s">
        <v>48</v>
      </c>
      <c r="H328" s="1" t="n">
        <v>15</v>
      </c>
      <c r="I328" s="1" t="n">
        <v>1352.4</v>
      </c>
      <c r="J328" s="1" t="n">
        <v>300</v>
      </c>
    </row>
    <row r="329" customFormat="false" ht="15" hidden="false" customHeight="true" outlineLevel="0" collapsed="false">
      <c r="A329" s="1" t="s">
        <v>138</v>
      </c>
      <c r="B329" s="1" t="s">
        <v>57</v>
      </c>
      <c r="C329" s="1" t="s">
        <v>116</v>
      </c>
      <c r="D329" s="1" t="n">
        <v>3</v>
      </c>
      <c r="E329" s="1" t="n">
        <v>12</v>
      </c>
      <c r="F329" s="1" t="s">
        <v>49</v>
      </c>
      <c r="G329" s="1" t="s">
        <v>49</v>
      </c>
      <c r="H329" s="1" t="n">
        <v>48</v>
      </c>
      <c r="I329" s="1" t="n">
        <v>4312.8</v>
      </c>
      <c r="J329" s="1" t="n">
        <v>300</v>
      </c>
    </row>
    <row r="330" customFormat="false" ht="15" hidden="false" customHeight="true" outlineLevel="0" collapsed="false">
      <c r="A330" s="1" t="s">
        <v>139</v>
      </c>
      <c r="B330" s="1" t="s">
        <v>59</v>
      </c>
      <c r="C330" s="1" t="s">
        <v>116</v>
      </c>
      <c r="D330" s="1" t="n">
        <v>3</v>
      </c>
      <c r="E330" s="1" t="n">
        <v>13</v>
      </c>
      <c r="F330" s="1" t="s">
        <v>43</v>
      </c>
      <c r="G330" s="1" t="s">
        <v>44</v>
      </c>
      <c r="H330" s="1" t="n">
        <v>97</v>
      </c>
      <c r="I330" s="1" t="n">
        <v>11497.41</v>
      </c>
      <c r="J330" s="1" t="n">
        <v>300</v>
      </c>
    </row>
    <row r="331" customFormat="false" ht="15" hidden="false" customHeight="true" outlineLevel="0" collapsed="false">
      <c r="A331" s="1" t="s">
        <v>139</v>
      </c>
      <c r="B331" s="1" t="s">
        <v>59</v>
      </c>
      <c r="C331" s="1" t="s">
        <v>116</v>
      </c>
      <c r="D331" s="1" t="n">
        <v>3</v>
      </c>
      <c r="E331" s="1" t="n">
        <v>13</v>
      </c>
      <c r="F331" s="1" t="s">
        <v>45</v>
      </c>
      <c r="G331" s="1" t="s">
        <v>46</v>
      </c>
      <c r="H331" s="1" t="n">
        <v>21</v>
      </c>
      <c r="I331" s="1" t="n">
        <v>2177.91</v>
      </c>
      <c r="J331" s="1" t="n">
        <v>300</v>
      </c>
    </row>
    <row r="332" customFormat="false" ht="15" hidden="false" customHeight="true" outlineLevel="0" collapsed="false">
      <c r="A332" s="1" t="s">
        <v>139</v>
      </c>
      <c r="B332" s="1" t="s">
        <v>59</v>
      </c>
      <c r="C332" s="1" t="s">
        <v>116</v>
      </c>
      <c r="D332" s="1" t="n">
        <v>3</v>
      </c>
      <c r="E332" s="1" t="n">
        <v>13</v>
      </c>
      <c r="F332" s="1" t="s">
        <v>47</v>
      </c>
      <c r="G332" s="1" t="s">
        <v>48</v>
      </c>
      <c r="H332" s="1" t="n">
        <v>27</v>
      </c>
      <c r="I332" s="1" t="n">
        <v>2521.8</v>
      </c>
      <c r="J332" s="1" t="n">
        <v>300</v>
      </c>
    </row>
    <row r="333" customFormat="false" ht="15" hidden="false" customHeight="true" outlineLevel="0" collapsed="false">
      <c r="A333" s="1" t="s">
        <v>139</v>
      </c>
      <c r="B333" s="1" t="s">
        <v>59</v>
      </c>
      <c r="C333" s="1" t="s">
        <v>116</v>
      </c>
      <c r="D333" s="1" t="n">
        <v>3</v>
      </c>
      <c r="E333" s="1" t="n">
        <v>13</v>
      </c>
      <c r="F333" s="1" t="s">
        <v>49</v>
      </c>
      <c r="G333" s="1" t="s">
        <v>49</v>
      </c>
      <c r="H333" s="1" t="n">
        <v>31</v>
      </c>
      <c r="I333" s="1" t="n">
        <v>2684.91</v>
      </c>
      <c r="J333" s="1" t="n">
        <v>300</v>
      </c>
    </row>
    <row r="334" customFormat="false" ht="15" hidden="false" customHeight="true" outlineLevel="0" collapsed="false">
      <c r="A334" s="1" t="s">
        <v>140</v>
      </c>
      <c r="B334" s="1" t="s">
        <v>61</v>
      </c>
      <c r="C334" s="1" t="s">
        <v>116</v>
      </c>
      <c r="D334" s="1" t="n">
        <v>3</v>
      </c>
      <c r="E334" s="1" t="n">
        <v>13</v>
      </c>
      <c r="F334" s="1" t="s">
        <v>43</v>
      </c>
      <c r="G334" s="1" t="s">
        <v>44</v>
      </c>
      <c r="H334" s="1" t="n">
        <v>91</v>
      </c>
      <c r="I334" s="1" t="n">
        <v>10870.86</v>
      </c>
      <c r="J334" s="1" t="n">
        <v>300</v>
      </c>
    </row>
    <row r="335" customFormat="false" ht="15" hidden="false" customHeight="true" outlineLevel="0" collapsed="false">
      <c r="A335" s="1" t="s">
        <v>140</v>
      </c>
      <c r="B335" s="1" t="s">
        <v>61</v>
      </c>
      <c r="C335" s="1" t="s">
        <v>116</v>
      </c>
      <c r="D335" s="1" t="n">
        <v>3</v>
      </c>
      <c r="E335" s="1" t="n">
        <v>13</v>
      </c>
      <c r="F335" s="1" t="s">
        <v>45</v>
      </c>
      <c r="G335" s="1" t="s">
        <v>46</v>
      </c>
      <c r="H335" s="1" t="n">
        <v>20</v>
      </c>
      <c r="I335" s="1" t="n">
        <v>2281.2</v>
      </c>
      <c r="J335" s="1" t="n">
        <v>300</v>
      </c>
    </row>
    <row r="336" customFormat="false" ht="15" hidden="false" customHeight="true" outlineLevel="0" collapsed="false">
      <c r="A336" s="1" t="s">
        <v>140</v>
      </c>
      <c r="B336" s="1" t="s">
        <v>61</v>
      </c>
      <c r="C336" s="1" t="s">
        <v>116</v>
      </c>
      <c r="D336" s="1" t="n">
        <v>3</v>
      </c>
      <c r="E336" s="1" t="n">
        <v>13</v>
      </c>
      <c r="F336" s="1" t="s">
        <v>47</v>
      </c>
      <c r="G336" s="1" t="s">
        <v>48</v>
      </c>
      <c r="H336" s="1" t="n">
        <v>22</v>
      </c>
      <c r="I336" s="1" t="n">
        <v>2263.8</v>
      </c>
      <c r="J336" s="1" t="n">
        <v>300</v>
      </c>
    </row>
    <row r="337" customFormat="false" ht="15" hidden="false" customHeight="true" outlineLevel="0" collapsed="false">
      <c r="A337" s="1" t="s">
        <v>140</v>
      </c>
      <c r="B337" s="1" t="s">
        <v>61</v>
      </c>
      <c r="C337" s="1" t="s">
        <v>116</v>
      </c>
      <c r="D337" s="1" t="n">
        <v>3</v>
      </c>
      <c r="E337" s="1" t="n">
        <v>13</v>
      </c>
      <c r="F337" s="1" t="s">
        <v>49</v>
      </c>
      <c r="G337" s="1" t="s">
        <v>49</v>
      </c>
      <c r="H337" s="1" t="n">
        <v>34</v>
      </c>
      <c r="I337" s="1" t="n">
        <v>2665.26</v>
      </c>
      <c r="J337" s="1" t="n">
        <v>300</v>
      </c>
    </row>
    <row r="338" customFormat="false" ht="15" hidden="false" customHeight="true" outlineLevel="0" collapsed="false">
      <c r="A338" s="1" t="s">
        <v>141</v>
      </c>
      <c r="B338" s="1" t="s">
        <v>41</v>
      </c>
      <c r="C338" s="1" t="s">
        <v>116</v>
      </c>
      <c r="D338" s="1" t="n">
        <v>3</v>
      </c>
      <c r="E338" s="1" t="n">
        <v>13</v>
      </c>
      <c r="F338" s="1" t="s">
        <v>43</v>
      </c>
      <c r="G338" s="1" t="s">
        <v>44</v>
      </c>
      <c r="H338" s="1" t="n">
        <v>94</v>
      </c>
      <c r="I338" s="1" t="n">
        <v>10909.64</v>
      </c>
      <c r="J338" s="1" t="n">
        <v>300</v>
      </c>
    </row>
    <row r="339" customFormat="false" ht="15" hidden="false" customHeight="true" outlineLevel="0" collapsed="false">
      <c r="A339" s="1" t="s">
        <v>141</v>
      </c>
      <c r="B339" s="1" t="s">
        <v>41</v>
      </c>
      <c r="C339" s="1" t="s">
        <v>116</v>
      </c>
      <c r="D339" s="1" t="n">
        <v>3</v>
      </c>
      <c r="E339" s="1" t="n">
        <v>13</v>
      </c>
      <c r="F339" s="1" t="s">
        <v>45</v>
      </c>
      <c r="G339" s="1" t="s">
        <v>46</v>
      </c>
      <c r="H339" s="1" t="n">
        <v>18</v>
      </c>
      <c r="I339" s="1" t="n">
        <v>1795.32</v>
      </c>
      <c r="J339" s="1" t="n">
        <v>300</v>
      </c>
    </row>
    <row r="340" customFormat="false" ht="15" hidden="false" customHeight="true" outlineLevel="0" collapsed="false">
      <c r="A340" s="1" t="s">
        <v>141</v>
      </c>
      <c r="B340" s="1" t="s">
        <v>41</v>
      </c>
      <c r="C340" s="1" t="s">
        <v>116</v>
      </c>
      <c r="D340" s="1" t="n">
        <v>3</v>
      </c>
      <c r="E340" s="1" t="n">
        <v>13</v>
      </c>
      <c r="F340" s="1" t="s">
        <v>47</v>
      </c>
      <c r="G340" s="1" t="s">
        <v>48</v>
      </c>
      <c r="H340" s="1" t="n">
        <v>26</v>
      </c>
      <c r="I340" s="1" t="n">
        <v>2774.98</v>
      </c>
      <c r="J340" s="1" t="n">
        <v>300</v>
      </c>
    </row>
    <row r="341" customFormat="false" ht="15" hidden="false" customHeight="true" outlineLevel="0" collapsed="false">
      <c r="A341" s="1" t="s">
        <v>141</v>
      </c>
      <c r="B341" s="1" t="s">
        <v>41</v>
      </c>
      <c r="C341" s="1" t="s">
        <v>116</v>
      </c>
      <c r="D341" s="1" t="n">
        <v>3</v>
      </c>
      <c r="E341" s="1" t="n">
        <v>13</v>
      </c>
      <c r="F341" s="1" t="s">
        <v>49</v>
      </c>
      <c r="G341" s="1" t="s">
        <v>49</v>
      </c>
      <c r="H341" s="1" t="n">
        <v>33</v>
      </c>
      <c r="I341" s="1" t="n">
        <v>3179.88</v>
      </c>
      <c r="J341" s="1" t="n">
        <v>300</v>
      </c>
    </row>
    <row r="342" customFormat="false" ht="15" hidden="false" customHeight="true" outlineLevel="0" collapsed="false">
      <c r="A342" s="1" t="s">
        <v>142</v>
      </c>
      <c r="B342" s="1" t="s">
        <v>51</v>
      </c>
      <c r="C342" s="1" t="s">
        <v>116</v>
      </c>
      <c r="D342" s="1" t="n">
        <v>3</v>
      </c>
      <c r="E342" s="1" t="n">
        <v>13</v>
      </c>
      <c r="F342" s="1" t="s">
        <v>43</v>
      </c>
      <c r="G342" s="1" t="s">
        <v>44</v>
      </c>
      <c r="H342" s="1" t="n">
        <v>103</v>
      </c>
      <c r="I342" s="1" t="n">
        <v>11397.98</v>
      </c>
      <c r="J342" s="1" t="n">
        <v>300</v>
      </c>
    </row>
    <row r="343" customFormat="false" ht="15" hidden="false" customHeight="true" outlineLevel="0" collapsed="false">
      <c r="A343" s="1" t="s">
        <v>142</v>
      </c>
      <c r="B343" s="1" t="s">
        <v>51</v>
      </c>
      <c r="C343" s="1" t="s">
        <v>116</v>
      </c>
      <c r="D343" s="1" t="n">
        <v>3</v>
      </c>
      <c r="E343" s="1" t="n">
        <v>13</v>
      </c>
      <c r="F343" s="1" t="s">
        <v>45</v>
      </c>
      <c r="G343" s="1" t="s">
        <v>46</v>
      </c>
      <c r="H343" s="1" t="n">
        <v>19</v>
      </c>
      <c r="I343" s="1" t="n">
        <v>2046.11</v>
      </c>
      <c r="J343" s="1" t="n">
        <v>300</v>
      </c>
    </row>
    <row r="344" customFormat="false" ht="15" hidden="false" customHeight="true" outlineLevel="0" collapsed="false">
      <c r="A344" s="1" t="s">
        <v>142</v>
      </c>
      <c r="B344" s="1" t="s">
        <v>51</v>
      </c>
      <c r="C344" s="1" t="s">
        <v>116</v>
      </c>
      <c r="D344" s="1" t="n">
        <v>3</v>
      </c>
      <c r="E344" s="1" t="n">
        <v>13</v>
      </c>
      <c r="F344" s="1" t="s">
        <v>47</v>
      </c>
      <c r="G344" s="1" t="s">
        <v>48</v>
      </c>
      <c r="H344" s="1" t="n">
        <v>25</v>
      </c>
      <c r="I344" s="1" t="n">
        <v>2517.5</v>
      </c>
      <c r="J344" s="1" t="n">
        <v>300</v>
      </c>
    </row>
    <row r="345" customFormat="false" ht="15" hidden="false" customHeight="true" outlineLevel="0" collapsed="false">
      <c r="A345" s="1" t="s">
        <v>142</v>
      </c>
      <c r="B345" s="1" t="s">
        <v>51</v>
      </c>
      <c r="C345" s="1" t="s">
        <v>116</v>
      </c>
      <c r="D345" s="1" t="n">
        <v>3</v>
      </c>
      <c r="E345" s="1" t="n">
        <v>13</v>
      </c>
      <c r="F345" s="1" t="s">
        <v>49</v>
      </c>
      <c r="G345" s="1" t="s">
        <v>49</v>
      </c>
      <c r="H345" s="1" t="n">
        <v>30</v>
      </c>
      <c r="I345" s="1" t="n">
        <v>2625.6</v>
      </c>
      <c r="J345" s="1" t="n">
        <v>300</v>
      </c>
    </row>
    <row r="346" customFormat="false" ht="15" hidden="false" customHeight="true" outlineLevel="0" collapsed="false">
      <c r="A346" s="1" t="s">
        <v>143</v>
      </c>
      <c r="B346" s="1" t="s">
        <v>53</v>
      </c>
      <c r="C346" s="1" t="s">
        <v>116</v>
      </c>
      <c r="D346" s="1" t="n">
        <v>3</v>
      </c>
      <c r="E346" s="1" t="n">
        <v>13</v>
      </c>
      <c r="F346" s="1" t="s">
        <v>43</v>
      </c>
      <c r="G346" s="1" t="s">
        <v>44</v>
      </c>
      <c r="H346" s="1" t="n">
        <v>103</v>
      </c>
      <c r="I346" s="1" t="n">
        <v>12552.61</v>
      </c>
      <c r="J346" s="1" t="n">
        <v>300</v>
      </c>
    </row>
    <row r="347" customFormat="false" ht="15" hidden="false" customHeight="true" outlineLevel="0" collapsed="false">
      <c r="A347" s="1" t="s">
        <v>143</v>
      </c>
      <c r="B347" s="1" t="s">
        <v>53</v>
      </c>
      <c r="C347" s="1" t="s">
        <v>116</v>
      </c>
      <c r="D347" s="1" t="n">
        <v>3</v>
      </c>
      <c r="E347" s="1" t="n">
        <v>13</v>
      </c>
      <c r="F347" s="1" t="s">
        <v>45</v>
      </c>
      <c r="G347" s="1" t="s">
        <v>46</v>
      </c>
      <c r="H347" s="1" t="n">
        <v>20</v>
      </c>
      <c r="I347" s="1" t="n">
        <v>2238</v>
      </c>
      <c r="J347" s="1" t="n">
        <v>300</v>
      </c>
    </row>
    <row r="348" customFormat="false" ht="15" hidden="false" customHeight="true" outlineLevel="0" collapsed="false">
      <c r="A348" s="1" t="s">
        <v>143</v>
      </c>
      <c r="B348" s="1" t="s">
        <v>53</v>
      </c>
      <c r="C348" s="1" t="s">
        <v>116</v>
      </c>
      <c r="D348" s="1" t="n">
        <v>3</v>
      </c>
      <c r="E348" s="1" t="n">
        <v>13</v>
      </c>
      <c r="F348" s="1" t="s">
        <v>47</v>
      </c>
      <c r="G348" s="1" t="s">
        <v>48</v>
      </c>
      <c r="H348" s="1" t="n">
        <v>26</v>
      </c>
      <c r="I348" s="1" t="n">
        <v>2603.64</v>
      </c>
      <c r="J348" s="1" t="n">
        <v>300</v>
      </c>
    </row>
    <row r="349" customFormat="false" ht="15" hidden="false" customHeight="true" outlineLevel="0" collapsed="false">
      <c r="A349" s="1" t="s">
        <v>143</v>
      </c>
      <c r="B349" s="1" t="s">
        <v>53</v>
      </c>
      <c r="C349" s="1" t="s">
        <v>116</v>
      </c>
      <c r="D349" s="1" t="n">
        <v>3</v>
      </c>
      <c r="E349" s="1" t="n">
        <v>13</v>
      </c>
      <c r="F349" s="1" t="s">
        <v>49</v>
      </c>
      <c r="G349" s="1" t="s">
        <v>49</v>
      </c>
      <c r="H349" s="1" t="n">
        <v>32</v>
      </c>
      <c r="I349" s="1" t="n">
        <v>2811.84</v>
      </c>
      <c r="J349" s="1" t="n">
        <v>300</v>
      </c>
    </row>
    <row r="350" customFormat="false" ht="15" hidden="false" customHeight="true" outlineLevel="0" collapsed="false">
      <c r="A350" s="1" t="s">
        <v>144</v>
      </c>
      <c r="B350" s="1" t="s">
        <v>55</v>
      </c>
      <c r="C350" s="1" t="s">
        <v>116</v>
      </c>
      <c r="D350" s="1" t="n">
        <v>3</v>
      </c>
      <c r="E350" s="1" t="n">
        <v>13</v>
      </c>
      <c r="F350" s="1" t="s">
        <v>43</v>
      </c>
      <c r="G350" s="1" t="s">
        <v>44</v>
      </c>
      <c r="H350" s="1" t="n">
        <v>19</v>
      </c>
      <c r="I350" s="1" t="n">
        <v>2086.01</v>
      </c>
      <c r="J350" s="1" t="n">
        <v>300</v>
      </c>
    </row>
    <row r="351" customFormat="false" ht="15" hidden="false" customHeight="true" outlineLevel="0" collapsed="false">
      <c r="A351" s="1" t="s">
        <v>144</v>
      </c>
      <c r="B351" s="1" t="s">
        <v>55</v>
      </c>
      <c r="C351" s="1" t="s">
        <v>116</v>
      </c>
      <c r="D351" s="1" t="n">
        <v>3</v>
      </c>
      <c r="E351" s="1" t="n">
        <v>13</v>
      </c>
      <c r="F351" s="1" t="s">
        <v>45</v>
      </c>
      <c r="G351" s="1" t="s">
        <v>46</v>
      </c>
      <c r="H351" s="1" t="n">
        <v>61</v>
      </c>
      <c r="I351" s="1" t="n">
        <v>6311.06</v>
      </c>
      <c r="J351" s="1" t="n">
        <v>300</v>
      </c>
    </row>
    <row r="352" customFormat="false" ht="15" hidden="false" customHeight="true" outlineLevel="0" collapsed="false">
      <c r="A352" s="1" t="s">
        <v>144</v>
      </c>
      <c r="B352" s="1" t="s">
        <v>55</v>
      </c>
      <c r="C352" s="1" t="s">
        <v>116</v>
      </c>
      <c r="D352" s="1" t="n">
        <v>3</v>
      </c>
      <c r="E352" s="1" t="n">
        <v>13</v>
      </c>
      <c r="F352" s="1" t="s">
        <v>47</v>
      </c>
      <c r="G352" s="1" t="s">
        <v>48</v>
      </c>
      <c r="H352" s="1" t="n">
        <v>15</v>
      </c>
      <c r="I352" s="1" t="n">
        <v>1539.75</v>
      </c>
      <c r="J352" s="1" t="n">
        <v>300</v>
      </c>
    </row>
    <row r="353" customFormat="false" ht="15" hidden="false" customHeight="true" outlineLevel="0" collapsed="false">
      <c r="A353" s="1" t="s">
        <v>144</v>
      </c>
      <c r="B353" s="1" t="s">
        <v>55</v>
      </c>
      <c r="C353" s="1" t="s">
        <v>116</v>
      </c>
      <c r="D353" s="1" t="n">
        <v>3</v>
      </c>
      <c r="E353" s="1" t="n">
        <v>13</v>
      </c>
      <c r="F353" s="1" t="s">
        <v>49</v>
      </c>
      <c r="G353" s="1" t="s">
        <v>49</v>
      </c>
      <c r="H353" s="1" t="n">
        <v>36</v>
      </c>
      <c r="I353" s="1" t="n">
        <v>2950.56</v>
      </c>
      <c r="J353" s="1" t="n">
        <v>300</v>
      </c>
    </row>
    <row r="354" customFormat="false" ht="15" hidden="false" customHeight="true" outlineLevel="0" collapsed="false">
      <c r="A354" s="1" t="s">
        <v>145</v>
      </c>
      <c r="B354" s="1" t="s">
        <v>57</v>
      </c>
      <c r="C354" s="1" t="s">
        <v>116</v>
      </c>
      <c r="D354" s="1" t="n">
        <v>3</v>
      </c>
      <c r="E354" s="1" t="n">
        <v>13</v>
      </c>
      <c r="F354" s="1" t="s">
        <v>43</v>
      </c>
      <c r="G354" s="1" t="s">
        <v>44</v>
      </c>
      <c r="H354" s="1" t="n">
        <v>16</v>
      </c>
      <c r="I354" s="1" t="n">
        <v>1968.32</v>
      </c>
      <c r="J354" s="1" t="n">
        <v>300</v>
      </c>
    </row>
    <row r="355" customFormat="false" ht="15" hidden="false" customHeight="true" outlineLevel="0" collapsed="false">
      <c r="A355" s="1" t="s">
        <v>145</v>
      </c>
      <c r="B355" s="1" t="s">
        <v>57</v>
      </c>
      <c r="C355" s="1" t="s">
        <v>116</v>
      </c>
      <c r="D355" s="1" t="n">
        <v>3</v>
      </c>
      <c r="E355" s="1" t="n">
        <v>13</v>
      </c>
      <c r="F355" s="1" t="s">
        <v>45</v>
      </c>
      <c r="G355" s="1" t="s">
        <v>46</v>
      </c>
      <c r="H355" s="1" t="n">
        <v>50</v>
      </c>
      <c r="I355" s="1" t="n">
        <v>5781.5</v>
      </c>
      <c r="J355" s="1" t="n">
        <v>300</v>
      </c>
    </row>
    <row r="356" customFormat="false" ht="15" hidden="false" customHeight="true" outlineLevel="0" collapsed="false">
      <c r="A356" s="1" t="s">
        <v>145</v>
      </c>
      <c r="B356" s="1" t="s">
        <v>57</v>
      </c>
      <c r="C356" s="1" t="s">
        <v>116</v>
      </c>
      <c r="D356" s="1" t="n">
        <v>3</v>
      </c>
      <c r="E356" s="1" t="n">
        <v>13</v>
      </c>
      <c r="F356" s="1" t="s">
        <v>47</v>
      </c>
      <c r="G356" s="1" t="s">
        <v>48</v>
      </c>
      <c r="H356" s="1" t="n">
        <v>12</v>
      </c>
      <c r="I356" s="1" t="n">
        <v>1276.8</v>
      </c>
      <c r="J356" s="1" t="n">
        <v>300</v>
      </c>
    </row>
    <row r="357" customFormat="false" ht="15" hidden="false" customHeight="true" outlineLevel="0" collapsed="false">
      <c r="A357" s="1" t="s">
        <v>145</v>
      </c>
      <c r="B357" s="1" t="s">
        <v>57</v>
      </c>
      <c r="C357" s="1" t="s">
        <v>116</v>
      </c>
      <c r="D357" s="1" t="n">
        <v>3</v>
      </c>
      <c r="E357" s="1" t="n">
        <v>13</v>
      </c>
      <c r="F357" s="1" t="s">
        <v>49</v>
      </c>
      <c r="G357" s="1" t="s">
        <v>49</v>
      </c>
      <c r="H357" s="1" t="n">
        <v>39</v>
      </c>
      <c r="I357" s="1" t="n">
        <v>3471.39</v>
      </c>
      <c r="J357" s="1" t="n">
        <v>300</v>
      </c>
    </row>
    <row r="358" customFormat="false" ht="15" hidden="false" customHeight="true" outlineLevel="0" collapsed="false">
      <c r="A358" s="1" t="s">
        <v>146</v>
      </c>
      <c r="B358" s="1" t="s">
        <v>59</v>
      </c>
      <c r="C358" s="1" t="s">
        <v>116</v>
      </c>
      <c r="D358" s="1" t="n">
        <v>3</v>
      </c>
      <c r="E358" s="1" t="n">
        <v>14</v>
      </c>
      <c r="F358" s="1" t="s">
        <v>43</v>
      </c>
      <c r="G358" s="1" t="s">
        <v>44</v>
      </c>
      <c r="H358" s="1" t="n">
        <v>92</v>
      </c>
      <c r="I358" s="1" t="n">
        <v>11182.6</v>
      </c>
      <c r="J358" s="1" t="n">
        <v>300</v>
      </c>
    </row>
    <row r="359" customFormat="false" ht="15" hidden="false" customHeight="true" outlineLevel="0" collapsed="false">
      <c r="A359" s="1" t="s">
        <v>146</v>
      </c>
      <c r="B359" s="1" t="s">
        <v>59</v>
      </c>
      <c r="C359" s="1" t="s">
        <v>116</v>
      </c>
      <c r="D359" s="1" t="n">
        <v>3</v>
      </c>
      <c r="E359" s="1" t="n">
        <v>14</v>
      </c>
      <c r="F359" s="1" t="s">
        <v>45</v>
      </c>
      <c r="G359" s="1" t="s">
        <v>46</v>
      </c>
      <c r="H359" s="1" t="n">
        <v>20</v>
      </c>
      <c r="I359" s="1" t="n">
        <v>2231</v>
      </c>
      <c r="J359" s="1" t="n">
        <v>300</v>
      </c>
    </row>
    <row r="360" customFormat="false" ht="15" hidden="false" customHeight="true" outlineLevel="0" collapsed="false">
      <c r="A360" s="1" t="s">
        <v>146</v>
      </c>
      <c r="B360" s="1" t="s">
        <v>59</v>
      </c>
      <c r="C360" s="1" t="s">
        <v>116</v>
      </c>
      <c r="D360" s="1" t="n">
        <v>3</v>
      </c>
      <c r="E360" s="1" t="n">
        <v>14</v>
      </c>
      <c r="F360" s="1" t="s">
        <v>47</v>
      </c>
      <c r="G360" s="1" t="s">
        <v>48</v>
      </c>
      <c r="H360" s="1" t="n">
        <v>29</v>
      </c>
      <c r="I360" s="1" t="n">
        <v>2825.76</v>
      </c>
      <c r="J360" s="1" t="n">
        <v>300</v>
      </c>
    </row>
    <row r="361" customFormat="false" ht="15" hidden="false" customHeight="true" outlineLevel="0" collapsed="false">
      <c r="A361" s="1" t="s">
        <v>146</v>
      </c>
      <c r="B361" s="1" t="s">
        <v>59</v>
      </c>
      <c r="C361" s="1" t="s">
        <v>116</v>
      </c>
      <c r="D361" s="1" t="n">
        <v>3</v>
      </c>
      <c r="E361" s="1" t="n">
        <v>14</v>
      </c>
      <c r="F361" s="1" t="s">
        <v>49</v>
      </c>
      <c r="G361" s="1" t="s">
        <v>49</v>
      </c>
      <c r="H361" s="1" t="n">
        <v>30</v>
      </c>
      <c r="I361" s="1" t="n">
        <v>2676.6</v>
      </c>
      <c r="J361" s="1" t="n">
        <v>300</v>
      </c>
    </row>
    <row r="362" customFormat="false" ht="15" hidden="false" customHeight="true" outlineLevel="0" collapsed="false">
      <c r="A362" s="1" t="s">
        <v>147</v>
      </c>
      <c r="B362" s="1" t="s">
        <v>61</v>
      </c>
      <c r="C362" s="1" t="s">
        <v>148</v>
      </c>
      <c r="D362" s="1" t="n">
        <v>4</v>
      </c>
      <c r="E362" s="1" t="n">
        <v>14</v>
      </c>
      <c r="F362" s="1" t="s">
        <v>43</v>
      </c>
      <c r="G362" s="1" t="s">
        <v>44</v>
      </c>
      <c r="H362" s="1" t="n">
        <v>98</v>
      </c>
      <c r="I362" s="1" t="n">
        <v>10377.22</v>
      </c>
      <c r="J362" s="1" t="n">
        <v>300</v>
      </c>
    </row>
    <row r="363" customFormat="false" ht="15" hidden="false" customHeight="true" outlineLevel="0" collapsed="false">
      <c r="A363" s="1" t="s">
        <v>147</v>
      </c>
      <c r="B363" s="1" t="s">
        <v>61</v>
      </c>
      <c r="C363" s="1" t="s">
        <v>148</v>
      </c>
      <c r="D363" s="1" t="n">
        <v>4</v>
      </c>
      <c r="E363" s="1" t="n">
        <v>14</v>
      </c>
      <c r="F363" s="1" t="s">
        <v>45</v>
      </c>
      <c r="G363" s="1" t="s">
        <v>46</v>
      </c>
      <c r="H363" s="1" t="n">
        <v>18</v>
      </c>
      <c r="I363" s="1" t="n">
        <v>1955.52</v>
      </c>
      <c r="J363" s="1" t="n">
        <v>300</v>
      </c>
    </row>
    <row r="364" customFormat="false" ht="15" hidden="false" customHeight="true" outlineLevel="0" collapsed="false">
      <c r="A364" s="1" t="s">
        <v>147</v>
      </c>
      <c r="B364" s="1" t="s">
        <v>61</v>
      </c>
      <c r="C364" s="1" t="s">
        <v>148</v>
      </c>
      <c r="D364" s="1" t="n">
        <v>4</v>
      </c>
      <c r="E364" s="1" t="n">
        <v>14</v>
      </c>
      <c r="F364" s="1" t="s">
        <v>47</v>
      </c>
      <c r="G364" s="1" t="s">
        <v>48</v>
      </c>
      <c r="H364" s="1" t="n">
        <v>28</v>
      </c>
      <c r="I364" s="1" t="n">
        <v>2658.32</v>
      </c>
      <c r="J364" s="1" t="n">
        <v>300</v>
      </c>
    </row>
    <row r="365" customFormat="false" ht="15" hidden="false" customHeight="true" outlineLevel="0" collapsed="false">
      <c r="A365" s="1" t="s">
        <v>147</v>
      </c>
      <c r="B365" s="1" t="s">
        <v>61</v>
      </c>
      <c r="C365" s="1" t="s">
        <v>148</v>
      </c>
      <c r="D365" s="1" t="n">
        <v>4</v>
      </c>
      <c r="E365" s="1" t="n">
        <v>14</v>
      </c>
      <c r="F365" s="1" t="s">
        <v>49</v>
      </c>
      <c r="G365" s="1" t="s">
        <v>49</v>
      </c>
      <c r="H365" s="1" t="n">
        <v>30</v>
      </c>
      <c r="I365" s="1" t="n">
        <v>2725.8</v>
      </c>
      <c r="J365" s="1" t="n">
        <v>300</v>
      </c>
    </row>
    <row r="366" customFormat="false" ht="15" hidden="false" customHeight="true" outlineLevel="0" collapsed="false">
      <c r="A366" s="1" t="s">
        <v>149</v>
      </c>
      <c r="B366" s="1" t="s">
        <v>41</v>
      </c>
      <c r="C366" s="1" t="s">
        <v>148</v>
      </c>
      <c r="D366" s="1" t="n">
        <v>4</v>
      </c>
      <c r="E366" s="1" t="n">
        <v>14</v>
      </c>
      <c r="F366" s="1" t="s">
        <v>43</v>
      </c>
      <c r="G366" s="1" t="s">
        <v>44</v>
      </c>
      <c r="H366" s="1" t="n">
        <v>90</v>
      </c>
      <c r="I366" s="1" t="n">
        <v>10124.1</v>
      </c>
      <c r="J366" s="1" t="n">
        <v>300</v>
      </c>
    </row>
    <row r="367" customFormat="false" ht="15" hidden="false" customHeight="true" outlineLevel="0" collapsed="false">
      <c r="A367" s="1" t="s">
        <v>149</v>
      </c>
      <c r="B367" s="1" t="s">
        <v>41</v>
      </c>
      <c r="C367" s="1" t="s">
        <v>148</v>
      </c>
      <c r="D367" s="1" t="n">
        <v>4</v>
      </c>
      <c r="E367" s="1" t="n">
        <v>14</v>
      </c>
      <c r="F367" s="1" t="s">
        <v>45</v>
      </c>
      <c r="G367" s="1" t="s">
        <v>46</v>
      </c>
      <c r="H367" s="1" t="n">
        <v>20</v>
      </c>
      <c r="I367" s="1" t="n">
        <v>1957.8</v>
      </c>
      <c r="J367" s="1" t="n">
        <v>300</v>
      </c>
    </row>
    <row r="368" customFormat="false" ht="15" hidden="false" customHeight="true" outlineLevel="0" collapsed="false">
      <c r="A368" s="1" t="s">
        <v>149</v>
      </c>
      <c r="B368" s="1" t="s">
        <v>41</v>
      </c>
      <c r="C368" s="1" t="s">
        <v>148</v>
      </c>
      <c r="D368" s="1" t="n">
        <v>4</v>
      </c>
      <c r="E368" s="1" t="n">
        <v>14</v>
      </c>
      <c r="F368" s="1" t="s">
        <v>47</v>
      </c>
      <c r="G368" s="1" t="s">
        <v>48</v>
      </c>
      <c r="H368" s="1" t="n">
        <v>29</v>
      </c>
      <c r="I368" s="1" t="n">
        <v>2499.51</v>
      </c>
      <c r="J368" s="1" t="n">
        <v>300</v>
      </c>
    </row>
    <row r="369" customFormat="false" ht="15" hidden="false" customHeight="true" outlineLevel="0" collapsed="false">
      <c r="A369" s="1" t="s">
        <v>149</v>
      </c>
      <c r="B369" s="1" t="s">
        <v>41</v>
      </c>
      <c r="C369" s="1" t="s">
        <v>148</v>
      </c>
      <c r="D369" s="1" t="n">
        <v>4</v>
      </c>
      <c r="E369" s="1" t="n">
        <v>14</v>
      </c>
      <c r="F369" s="1" t="s">
        <v>49</v>
      </c>
      <c r="G369" s="1" t="s">
        <v>49</v>
      </c>
      <c r="H369" s="1" t="n">
        <v>33</v>
      </c>
      <c r="I369" s="1" t="n">
        <v>3020.16</v>
      </c>
      <c r="J369" s="1" t="n">
        <v>300</v>
      </c>
    </row>
    <row r="370" customFormat="false" ht="15" hidden="false" customHeight="true" outlineLevel="0" collapsed="false">
      <c r="A370" s="1" t="s">
        <v>150</v>
      </c>
      <c r="B370" s="1" t="s">
        <v>51</v>
      </c>
      <c r="C370" s="1" t="s">
        <v>148</v>
      </c>
      <c r="D370" s="1" t="n">
        <v>4</v>
      </c>
      <c r="E370" s="1" t="n">
        <v>14</v>
      </c>
      <c r="F370" s="1" t="s">
        <v>43</v>
      </c>
      <c r="G370" s="1" t="s">
        <v>44</v>
      </c>
      <c r="H370" s="1" t="n">
        <v>97</v>
      </c>
      <c r="I370" s="1" t="n">
        <v>12121.12</v>
      </c>
      <c r="J370" s="1" t="n">
        <v>300</v>
      </c>
    </row>
    <row r="371" customFormat="false" ht="15" hidden="false" customHeight="true" outlineLevel="0" collapsed="false">
      <c r="A371" s="1" t="s">
        <v>150</v>
      </c>
      <c r="B371" s="1" t="s">
        <v>51</v>
      </c>
      <c r="C371" s="1" t="s">
        <v>148</v>
      </c>
      <c r="D371" s="1" t="n">
        <v>4</v>
      </c>
      <c r="E371" s="1" t="n">
        <v>14</v>
      </c>
      <c r="F371" s="1" t="s">
        <v>45</v>
      </c>
      <c r="G371" s="1" t="s">
        <v>46</v>
      </c>
      <c r="H371" s="1" t="n">
        <v>23</v>
      </c>
      <c r="I371" s="1" t="n">
        <v>2537.59</v>
      </c>
      <c r="J371" s="1" t="n">
        <v>300</v>
      </c>
    </row>
    <row r="372" customFormat="false" ht="15" hidden="false" customHeight="true" outlineLevel="0" collapsed="false">
      <c r="A372" s="1" t="s">
        <v>150</v>
      </c>
      <c r="B372" s="1" t="s">
        <v>51</v>
      </c>
      <c r="C372" s="1" t="s">
        <v>148</v>
      </c>
      <c r="D372" s="1" t="n">
        <v>4</v>
      </c>
      <c r="E372" s="1" t="n">
        <v>14</v>
      </c>
      <c r="F372" s="1" t="s">
        <v>47</v>
      </c>
      <c r="G372" s="1" t="s">
        <v>48</v>
      </c>
      <c r="H372" s="1" t="n">
        <v>23</v>
      </c>
      <c r="I372" s="1" t="n">
        <v>2038.49</v>
      </c>
      <c r="J372" s="1" t="n">
        <v>300</v>
      </c>
    </row>
    <row r="373" customFormat="false" ht="15" hidden="false" customHeight="true" outlineLevel="0" collapsed="false">
      <c r="A373" s="1" t="s">
        <v>150</v>
      </c>
      <c r="B373" s="1" t="s">
        <v>51</v>
      </c>
      <c r="C373" s="1" t="s">
        <v>148</v>
      </c>
      <c r="D373" s="1" t="n">
        <v>4</v>
      </c>
      <c r="E373" s="1" t="n">
        <v>14</v>
      </c>
      <c r="F373" s="1" t="s">
        <v>49</v>
      </c>
      <c r="G373" s="1" t="s">
        <v>49</v>
      </c>
      <c r="H373" s="1" t="n">
        <v>28</v>
      </c>
      <c r="I373" s="1" t="n">
        <v>2495.92</v>
      </c>
      <c r="J373" s="1" t="n">
        <v>300</v>
      </c>
    </row>
    <row r="374" customFormat="false" ht="15" hidden="false" customHeight="true" outlineLevel="0" collapsed="false">
      <c r="A374" s="1" t="s">
        <v>151</v>
      </c>
      <c r="B374" s="1" t="s">
        <v>53</v>
      </c>
      <c r="C374" s="1" t="s">
        <v>148</v>
      </c>
      <c r="D374" s="1" t="n">
        <v>4</v>
      </c>
      <c r="E374" s="1" t="n">
        <v>14</v>
      </c>
      <c r="F374" s="1" t="s">
        <v>43</v>
      </c>
      <c r="G374" s="1" t="s">
        <v>44</v>
      </c>
      <c r="H374" s="1" t="n">
        <v>99</v>
      </c>
      <c r="I374" s="1" t="n">
        <v>11173.14</v>
      </c>
      <c r="J374" s="1" t="n">
        <v>300</v>
      </c>
    </row>
    <row r="375" customFormat="false" ht="15" hidden="false" customHeight="true" outlineLevel="0" collapsed="false">
      <c r="A375" s="1" t="s">
        <v>151</v>
      </c>
      <c r="B375" s="1" t="s">
        <v>53</v>
      </c>
      <c r="C375" s="1" t="s">
        <v>148</v>
      </c>
      <c r="D375" s="1" t="n">
        <v>4</v>
      </c>
      <c r="E375" s="1" t="n">
        <v>14</v>
      </c>
      <c r="F375" s="1" t="s">
        <v>45</v>
      </c>
      <c r="G375" s="1" t="s">
        <v>46</v>
      </c>
      <c r="H375" s="1" t="n">
        <v>20</v>
      </c>
      <c r="I375" s="1" t="n">
        <v>1985.8</v>
      </c>
      <c r="J375" s="1" t="n">
        <v>300</v>
      </c>
    </row>
    <row r="376" customFormat="false" ht="15" hidden="false" customHeight="true" outlineLevel="0" collapsed="false">
      <c r="A376" s="1" t="s">
        <v>151</v>
      </c>
      <c r="B376" s="1" t="s">
        <v>53</v>
      </c>
      <c r="C376" s="1" t="s">
        <v>148</v>
      </c>
      <c r="D376" s="1" t="n">
        <v>4</v>
      </c>
      <c r="E376" s="1" t="n">
        <v>14</v>
      </c>
      <c r="F376" s="1" t="s">
        <v>47</v>
      </c>
      <c r="G376" s="1" t="s">
        <v>48</v>
      </c>
      <c r="H376" s="1" t="n">
        <v>26</v>
      </c>
      <c r="I376" s="1" t="n">
        <v>2285.4</v>
      </c>
      <c r="J376" s="1" t="n">
        <v>300</v>
      </c>
    </row>
    <row r="377" customFormat="false" ht="15" hidden="false" customHeight="true" outlineLevel="0" collapsed="false">
      <c r="A377" s="1" t="s">
        <v>151</v>
      </c>
      <c r="B377" s="1" t="s">
        <v>53</v>
      </c>
      <c r="C377" s="1" t="s">
        <v>148</v>
      </c>
      <c r="D377" s="1" t="n">
        <v>4</v>
      </c>
      <c r="E377" s="1" t="n">
        <v>14</v>
      </c>
      <c r="F377" s="1" t="s">
        <v>49</v>
      </c>
      <c r="G377" s="1" t="s">
        <v>49</v>
      </c>
      <c r="H377" s="1" t="n">
        <v>28</v>
      </c>
      <c r="I377" s="1" t="n">
        <v>2289.84</v>
      </c>
      <c r="J377" s="1" t="n">
        <v>300</v>
      </c>
    </row>
    <row r="378" customFormat="false" ht="15" hidden="false" customHeight="true" outlineLevel="0" collapsed="false">
      <c r="A378" s="1" t="s">
        <v>152</v>
      </c>
      <c r="B378" s="1" t="s">
        <v>55</v>
      </c>
      <c r="C378" s="1" t="s">
        <v>148</v>
      </c>
      <c r="D378" s="1" t="n">
        <v>4</v>
      </c>
      <c r="E378" s="1" t="n">
        <v>14</v>
      </c>
      <c r="F378" s="1" t="s">
        <v>43</v>
      </c>
      <c r="G378" s="1" t="s">
        <v>44</v>
      </c>
      <c r="H378" s="1" t="n">
        <v>16</v>
      </c>
      <c r="I378" s="1" t="n">
        <v>2007.36</v>
      </c>
      <c r="J378" s="1" t="n">
        <v>300</v>
      </c>
    </row>
    <row r="379" customFormat="false" ht="15" hidden="false" customHeight="true" outlineLevel="0" collapsed="false">
      <c r="A379" s="1" t="s">
        <v>152</v>
      </c>
      <c r="B379" s="1" t="s">
        <v>55</v>
      </c>
      <c r="C379" s="1" t="s">
        <v>148</v>
      </c>
      <c r="D379" s="1" t="n">
        <v>4</v>
      </c>
      <c r="E379" s="1" t="n">
        <v>14</v>
      </c>
      <c r="F379" s="1" t="s">
        <v>45</v>
      </c>
      <c r="G379" s="1" t="s">
        <v>46</v>
      </c>
      <c r="H379" s="1" t="n">
        <v>50</v>
      </c>
      <c r="I379" s="1" t="n">
        <v>6021.5</v>
      </c>
      <c r="J379" s="1" t="n">
        <v>300</v>
      </c>
    </row>
    <row r="380" customFormat="false" ht="15" hidden="false" customHeight="true" outlineLevel="0" collapsed="false">
      <c r="A380" s="1" t="s">
        <v>152</v>
      </c>
      <c r="B380" s="1" t="s">
        <v>55</v>
      </c>
      <c r="C380" s="1" t="s">
        <v>148</v>
      </c>
      <c r="D380" s="1" t="n">
        <v>4</v>
      </c>
      <c r="E380" s="1" t="n">
        <v>14</v>
      </c>
      <c r="F380" s="1" t="s">
        <v>47</v>
      </c>
      <c r="G380" s="1" t="s">
        <v>48</v>
      </c>
      <c r="H380" s="1" t="n">
        <v>16</v>
      </c>
      <c r="I380" s="1" t="n">
        <v>1552.96</v>
      </c>
      <c r="J380" s="1" t="n">
        <v>300</v>
      </c>
    </row>
    <row r="381" customFormat="false" ht="15" hidden="false" customHeight="true" outlineLevel="0" collapsed="false">
      <c r="A381" s="1" t="s">
        <v>152</v>
      </c>
      <c r="B381" s="1" t="s">
        <v>55</v>
      </c>
      <c r="C381" s="1" t="s">
        <v>148</v>
      </c>
      <c r="D381" s="1" t="n">
        <v>4</v>
      </c>
      <c r="E381" s="1" t="n">
        <v>14</v>
      </c>
      <c r="F381" s="1" t="s">
        <v>49</v>
      </c>
      <c r="G381" s="1" t="s">
        <v>49</v>
      </c>
      <c r="H381" s="1" t="n">
        <v>35</v>
      </c>
      <c r="I381" s="1" t="n">
        <v>3245.9</v>
      </c>
      <c r="J381" s="1" t="n">
        <v>300</v>
      </c>
    </row>
    <row r="382" customFormat="false" ht="15" hidden="false" customHeight="true" outlineLevel="0" collapsed="false">
      <c r="A382" s="1" t="s">
        <v>153</v>
      </c>
      <c r="B382" s="1" t="s">
        <v>57</v>
      </c>
      <c r="C382" s="1" t="s">
        <v>148</v>
      </c>
      <c r="D382" s="1" t="n">
        <v>4</v>
      </c>
      <c r="E382" s="1" t="n">
        <v>14</v>
      </c>
      <c r="F382" s="1" t="s">
        <v>43</v>
      </c>
      <c r="G382" s="1" t="s">
        <v>44</v>
      </c>
      <c r="H382" s="1" t="n">
        <v>17</v>
      </c>
      <c r="I382" s="1" t="n">
        <v>2020.62</v>
      </c>
      <c r="J382" s="1" t="n">
        <v>300</v>
      </c>
    </row>
    <row r="383" customFormat="false" ht="15" hidden="false" customHeight="true" outlineLevel="0" collapsed="false">
      <c r="A383" s="1" t="s">
        <v>153</v>
      </c>
      <c r="B383" s="1" t="s">
        <v>57</v>
      </c>
      <c r="C383" s="1" t="s">
        <v>148</v>
      </c>
      <c r="D383" s="1" t="n">
        <v>4</v>
      </c>
      <c r="E383" s="1" t="n">
        <v>14</v>
      </c>
      <c r="F383" s="1" t="s">
        <v>45</v>
      </c>
      <c r="G383" s="1" t="s">
        <v>46</v>
      </c>
      <c r="H383" s="1" t="n">
        <v>68</v>
      </c>
      <c r="I383" s="1" t="n">
        <v>7031.2</v>
      </c>
      <c r="J383" s="1" t="n">
        <v>300</v>
      </c>
    </row>
    <row r="384" customFormat="false" ht="15" hidden="false" customHeight="true" outlineLevel="0" collapsed="false">
      <c r="A384" s="1" t="s">
        <v>153</v>
      </c>
      <c r="B384" s="1" t="s">
        <v>57</v>
      </c>
      <c r="C384" s="1" t="s">
        <v>148</v>
      </c>
      <c r="D384" s="1" t="n">
        <v>4</v>
      </c>
      <c r="E384" s="1" t="n">
        <v>14</v>
      </c>
      <c r="F384" s="1" t="s">
        <v>47</v>
      </c>
      <c r="G384" s="1" t="s">
        <v>48</v>
      </c>
      <c r="H384" s="1" t="n">
        <v>17</v>
      </c>
      <c r="I384" s="1" t="n">
        <v>1563.15</v>
      </c>
      <c r="J384" s="1" t="n">
        <v>300</v>
      </c>
    </row>
    <row r="385" customFormat="false" ht="15" hidden="false" customHeight="true" outlineLevel="0" collapsed="false">
      <c r="A385" s="1" t="s">
        <v>153</v>
      </c>
      <c r="B385" s="1" t="s">
        <v>57</v>
      </c>
      <c r="C385" s="1" t="s">
        <v>148</v>
      </c>
      <c r="D385" s="1" t="n">
        <v>4</v>
      </c>
      <c r="E385" s="1" t="n">
        <v>14</v>
      </c>
      <c r="F385" s="1" t="s">
        <v>49</v>
      </c>
      <c r="G385" s="1" t="s">
        <v>49</v>
      </c>
      <c r="H385" s="1" t="n">
        <v>38</v>
      </c>
      <c r="I385" s="1" t="n">
        <v>3741.48</v>
      </c>
      <c r="J385" s="1" t="n">
        <v>300</v>
      </c>
    </row>
    <row r="386" customFormat="false" ht="15" hidden="false" customHeight="true" outlineLevel="0" collapsed="false">
      <c r="A386" s="1" t="s">
        <v>154</v>
      </c>
      <c r="B386" s="1" t="s">
        <v>59</v>
      </c>
      <c r="C386" s="1" t="s">
        <v>148</v>
      </c>
      <c r="D386" s="1" t="n">
        <v>4</v>
      </c>
      <c r="E386" s="1" t="n">
        <v>15</v>
      </c>
      <c r="F386" s="1" t="s">
        <v>43</v>
      </c>
      <c r="G386" s="1" t="s">
        <v>44</v>
      </c>
      <c r="H386" s="1" t="n">
        <v>90</v>
      </c>
      <c r="I386" s="1" t="n">
        <v>11774.7</v>
      </c>
      <c r="J386" s="1" t="n">
        <v>300</v>
      </c>
    </row>
    <row r="387" customFormat="false" ht="15" hidden="false" customHeight="true" outlineLevel="0" collapsed="false">
      <c r="A387" s="1" t="s">
        <v>154</v>
      </c>
      <c r="B387" s="1" t="s">
        <v>59</v>
      </c>
      <c r="C387" s="1" t="s">
        <v>148</v>
      </c>
      <c r="D387" s="1" t="n">
        <v>4</v>
      </c>
      <c r="E387" s="1" t="n">
        <v>15</v>
      </c>
      <c r="F387" s="1" t="s">
        <v>45</v>
      </c>
      <c r="G387" s="1" t="s">
        <v>46</v>
      </c>
      <c r="H387" s="1" t="n">
        <v>21</v>
      </c>
      <c r="I387" s="1" t="n">
        <v>2110.29</v>
      </c>
      <c r="J387" s="1" t="n">
        <v>300</v>
      </c>
    </row>
    <row r="388" customFormat="false" ht="15" hidden="false" customHeight="true" outlineLevel="0" collapsed="false">
      <c r="A388" s="1" t="s">
        <v>154</v>
      </c>
      <c r="B388" s="1" t="s">
        <v>59</v>
      </c>
      <c r="C388" s="1" t="s">
        <v>148</v>
      </c>
      <c r="D388" s="1" t="n">
        <v>4</v>
      </c>
      <c r="E388" s="1" t="n">
        <v>15</v>
      </c>
      <c r="F388" s="1" t="s">
        <v>47</v>
      </c>
      <c r="G388" s="1" t="s">
        <v>48</v>
      </c>
      <c r="H388" s="1" t="n">
        <v>30</v>
      </c>
      <c r="I388" s="1" t="n">
        <v>3048</v>
      </c>
      <c r="J388" s="1" t="n">
        <v>300</v>
      </c>
    </row>
    <row r="389" customFormat="false" ht="15" hidden="false" customHeight="true" outlineLevel="0" collapsed="false">
      <c r="A389" s="1" t="s">
        <v>154</v>
      </c>
      <c r="B389" s="1" t="s">
        <v>59</v>
      </c>
      <c r="C389" s="1" t="s">
        <v>148</v>
      </c>
      <c r="D389" s="1" t="n">
        <v>4</v>
      </c>
      <c r="E389" s="1" t="n">
        <v>15</v>
      </c>
      <c r="F389" s="1" t="s">
        <v>49</v>
      </c>
      <c r="G389" s="1" t="s">
        <v>49</v>
      </c>
      <c r="H389" s="1" t="n">
        <v>32</v>
      </c>
      <c r="I389" s="1" t="n">
        <v>2579.52</v>
      </c>
      <c r="J389" s="1" t="n">
        <v>300</v>
      </c>
    </row>
    <row r="390" customFormat="false" ht="15" hidden="false" customHeight="true" outlineLevel="0" collapsed="false">
      <c r="A390" s="1" t="s">
        <v>155</v>
      </c>
      <c r="B390" s="1" t="s">
        <v>61</v>
      </c>
      <c r="C390" s="1" t="s">
        <v>148</v>
      </c>
      <c r="D390" s="1" t="n">
        <v>4</v>
      </c>
      <c r="E390" s="1" t="n">
        <v>15</v>
      </c>
      <c r="F390" s="1" t="s">
        <v>43</v>
      </c>
      <c r="G390" s="1" t="s">
        <v>44</v>
      </c>
      <c r="H390" s="1" t="n">
        <v>89</v>
      </c>
      <c r="I390" s="1" t="n">
        <v>10346.25</v>
      </c>
      <c r="J390" s="1" t="n">
        <v>300</v>
      </c>
    </row>
    <row r="391" customFormat="false" ht="15" hidden="false" customHeight="true" outlineLevel="0" collapsed="false">
      <c r="A391" s="1" t="s">
        <v>155</v>
      </c>
      <c r="B391" s="1" t="s">
        <v>61</v>
      </c>
      <c r="C391" s="1" t="s">
        <v>148</v>
      </c>
      <c r="D391" s="1" t="n">
        <v>4</v>
      </c>
      <c r="E391" s="1" t="n">
        <v>15</v>
      </c>
      <c r="F391" s="1" t="s">
        <v>45</v>
      </c>
      <c r="G391" s="1" t="s">
        <v>46</v>
      </c>
      <c r="H391" s="1" t="n">
        <v>20</v>
      </c>
      <c r="I391" s="1" t="n">
        <v>2157.4</v>
      </c>
      <c r="J391" s="1" t="n">
        <v>300</v>
      </c>
    </row>
    <row r="392" customFormat="false" ht="15" hidden="false" customHeight="true" outlineLevel="0" collapsed="false">
      <c r="A392" s="1" t="s">
        <v>155</v>
      </c>
      <c r="B392" s="1" t="s">
        <v>61</v>
      </c>
      <c r="C392" s="1" t="s">
        <v>148</v>
      </c>
      <c r="D392" s="1" t="n">
        <v>4</v>
      </c>
      <c r="E392" s="1" t="n">
        <v>15</v>
      </c>
      <c r="F392" s="1" t="s">
        <v>47</v>
      </c>
      <c r="G392" s="1" t="s">
        <v>48</v>
      </c>
      <c r="H392" s="1" t="n">
        <v>28</v>
      </c>
      <c r="I392" s="1" t="n">
        <v>2472.68</v>
      </c>
      <c r="J392" s="1" t="n">
        <v>300</v>
      </c>
    </row>
    <row r="393" customFormat="false" ht="15" hidden="false" customHeight="true" outlineLevel="0" collapsed="false">
      <c r="A393" s="1" t="s">
        <v>155</v>
      </c>
      <c r="B393" s="1" t="s">
        <v>61</v>
      </c>
      <c r="C393" s="1" t="s">
        <v>148</v>
      </c>
      <c r="D393" s="1" t="n">
        <v>4</v>
      </c>
      <c r="E393" s="1" t="n">
        <v>15</v>
      </c>
      <c r="F393" s="1" t="s">
        <v>49</v>
      </c>
      <c r="G393" s="1" t="s">
        <v>49</v>
      </c>
      <c r="H393" s="1" t="n">
        <v>31</v>
      </c>
      <c r="I393" s="1" t="n">
        <v>2860.06</v>
      </c>
      <c r="J393" s="1" t="n">
        <v>300</v>
      </c>
    </row>
    <row r="394" customFormat="false" ht="15" hidden="false" customHeight="true" outlineLevel="0" collapsed="false">
      <c r="A394" s="1" t="s">
        <v>156</v>
      </c>
      <c r="B394" s="1" t="s">
        <v>41</v>
      </c>
      <c r="C394" s="1" t="s">
        <v>148</v>
      </c>
      <c r="D394" s="1" t="n">
        <v>4</v>
      </c>
      <c r="E394" s="1" t="n">
        <v>15</v>
      </c>
      <c r="F394" s="1" t="s">
        <v>43</v>
      </c>
      <c r="G394" s="1" t="s">
        <v>44</v>
      </c>
      <c r="H394" s="1" t="n">
        <v>100</v>
      </c>
      <c r="I394" s="1" t="n">
        <v>12565</v>
      </c>
      <c r="J394" s="1" t="n">
        <v>300</v>
      </c>
    </row>
    <row r="395" customFormat="false" ht="15" hidden="false" customHeight="true" outlineLevel="0" collapsed="false">
      <c r="A395" s="1" t="s">
        <v>156</v>
      </c>
      <c r="B395" s="1" t="s">
        <v>41</v>
      </c>
      <c r="C395" s="1" t="s">
        <v>148</v>
      </c>
      <c r="D395" s="1" t="n">
        <v>4</v>
      </c>
      <c r="E395" s="1" t="n">
        <v>15</v>
      </c>
      <c r="F395" s="1" t="s">
        <v>45</v>
      </c>
      <c r="G395" s="1" t="s">
        <v>46</v>
      </c>
      <c r="H395" s="1" t="n">
        <v>22</v>
      </c>
      <c r="I395" s="1" t="n">
        <v>2351.14</v>
      </c>
      <c r="J395" s="1" t="n">
        <v>300</v>
      </c>
    </row>
    <row r="396" customFormat="false" ht="15" hidden="false" customHeight="true" outlineLevel="0" collapsed="false">
      <c r="A396" s="1" t="s">
        <v>156</v>
      </c>
      <c r="B396" s="1" t="s">
        <v>41</v>
      </c>
      <c r="C396" s="1" t="s">
        <v>148</v>
      </c>
      <c r="D396" s="1" t="n">
        <v>4</v>
      </c>
      <c r="E396" s="1" t="n">
        <v>15</v>
      </c>
      <c r="F396" s="1" t="s">
        <v>47</v>
      </c>
      <c r="G396" s="1" t="s">
        <v>48</v>
      </c>
      <c r="H396" s="1" t="n">
        <v>28</v>
      </c>
      <c r="I396" s="1" t="n">
        <v>2420.04</v>
      </c>
      <c r="J396" s="1" t="n">
        <v>300</v>
      </c>
    </row>
    <row r="397" customFormat="false" ht="15" hidden="false" customHeight="true" outlineLevel="0" collapsed="false">
      <c r="A397" s="1" t="s">
        <v>156</v>
      </c>
      <c r="B397" s="1" t="s">
        <v>41</v>
      </c>
      <c r="C397" s="1" t="s">
        <v>148</v>
      </c>
      <c r="D397" s="1" t="n">
        <v>4</v>
      </c>
      <c r="E397" s="1" t="n">
        <v>15</v>
      </c>
      <c r="F397" s="1" t="s">
        <v>49</v>
      </c>
      <c r="G397" s="1" t="s">
        <v>49</v>
      </c>
      <c r="H397" s="1" t="n">
        <v>31</v>
      </c>
      <c r="I397" s="1" t="n">
        <v>2793.41</v>
      </c>
      <c r="J397" s="1" t="n">
        <v>300</v>
      </c>
    </row>
    <row r="398" customFormat="false" ht="15" hidden="false" customHeight="true" outlineLevel="0" collapsed="false">
      <c r="A398" s="1" t="s">
        <v>157</v>
      </c>
      <c r="B398" s="1" t="s">
        <v>51</v>
      </c>
      <c r="C398" s="1" t="s">
        <v>148</v>
      </c>
      <c r="D398" s="1" t="n">
        <v>4</v>
      </c>
      <c r="E398" s="1" t="n">
        <v>15</v>
      </c>
      <c r="F398" s="1" t="s">
        <v>43</v>
      </c>
      <c r="G398" s="1" t="s">
        <v>44</v>
      </c>
      <c r="H398" s="1" t="n">
        <v>97</v>
      </c>
      <c r="I398" s="1" t="n">
        <v>10569.12</v>
      </c>
      <c r="J398" s="1" t="n">
        <v>300</v>
      </c>
    </row>
    <row r="399" customFormat="false" ht="15" hidden="false" customHeight="true" outlineLevel="0" collapsed="false">
      <c r="A399" s="1" t="s">
        <v>157</v>
      </c>
      <c r="B399" s="1" t="s">
        <v>51</v>
      </c>
      <c r="C399" s="1" t="s">
        <v>148</v>
      </c>
      <c r="D399" s="1" t="n">
        <v>4</v>
      </c>
      <c r="E399" s="1" t="n">
        <v>15</v>
      </c>
      <c r="F399" s="1" t="s">
        <v>45</v>
      </c>
      <c r="G399" s="1" t="s">
        <v>46</v>
      </c>
      <c r="H399" s="1" t="n">
        <v>18</v>
      </c>
      <c r="I399" s="1" t="n">
        <v>1990.26</v>
      </c>
      <c r="J399" s="1" t="n">
        <v>300</v>
      </c>
    </row>
    <row r="400" customFormat="false" ht="15" hidden="false" customHeight="true" outlineLevel="0" collapsed="false">
      <c r="A400" s="1" t="s">
        <v>157</v>
      </c>
      <c r="B400" s="1" t="s">
        <v>51</v>
      </c>
      <c r="C400" s="1" t="s">
        <v>148</v>
      </c>
      <c r="D400" s="1" t="n">
        <v>4</v>
      </c>
      <c r="E400" s="1" t="n">
        <v>15</v>
      </c>
      <c r="F400" s="1" t="s">
        <v>47</v>
      </c>
      <c r="G400" s="1" t="s">
        <v>48</v>
      </c>
      <c r="H400" s="1" t="n">
        <v>28</v>
      </c>
      <c r="I400" s="1" t="n">
        <v>2798.04</v>
      </c>
      <c r="J400" s="1" t="n">
        <v>300</v>
      </c>
    </row>
    <row r="401" customFormat="false" ht="15" hidden="false" customHeight="true" outlineLevel="0" collapsed="false">
      <c r="A401" s="1" t="s">
        <v>157</v>
      </c>
      <c r="B401" s="1" t="s">
        <v>51</v>
      </c>
      <c r="C401" s="1" t="s">
        <v>148</v>
      </c>
      <c r="D401" s="1" t="n">
        <v>4</v>
      </c>
      <c r="E401" s="1" t="n">
        <v>15</v>
      </c>
      <c r="F401" s="1" t="s">
        <v>49</v>
      </c>
      <c r="G401" s="1" t="s">
        <v>49</v>
      </c>
      <c r="H401" s="1" t="n">
        <v>30</v>
      </c>
      <c r="I401" s="1" t="n">
        <v>2674.8</v>
      </c>
      <c r="J401" s="1" t="n">
        <v>300</v>
      </c>
    </row>
    <row r="402" customFormat="false" ht="15" hidden="false" customHeight="true" outlineLevel="0" collapsed="false">
      <c r="A402" s="1" t="s">
        <v>158</v>
      </c>
      <c r="B402" s="1" t="s">
        <v>53</v>
      </c>
      <c r="C402" s="1" t="s">
        <v>148</v>
      </c>
      <c r="D402" s="1" t="n">
        <v>4</v>
      </c>
      <c r="E402" s="1" t="n">
        <v>15</v>
      </c>
      <c r="F402" s="1" t="s">
        <v>43</v>
      </c>
      <c r="G402" s="1" t="s">
        <v>44</v>
      </c>
      <c r="H402" s="1" t="n">
        <v>103</v>
      </c>
      <c r="I402" s="1" t="n">
        <v>11778.05</v>
      </c>
      <c r="J402" s="1" t="n">
        <v>300</v>
      </c>
    </row>
    <row r="403" customFormat="false" ht="15" hidden="false" customHeight="true" outlineLevel="0" collapsed="false">
      <c r="A403" s="1" t="s">
        <v>158</v>
      </c>
      <c r="B403" s="1" t="s">
        <v>53</v>
      </c>
      <c r="C403" s="1" t="s">
        <v>148</v>
      </c>
      <c r="D403" s="1" t="n">
        <v>4</v>
      </c>
      <c r="E403" s="1" t="n">
        <v>15</v>
      </c>
      <c r="F403" s="1" t="s">
        <v>45</v>
      </c>
      <c r="G403" s="1" t="s">
        <v>46</v>
      </c>
      <c r="H403" s="1" t="n">
        <v>20</v>
      </c>
      <c r="I403" s="1" t="n">
        <v>2022.4</v>
      </c>
      <c r="J403" s="1" t="n">
        <v>300</v>
      </c>
    </row>
    <row r="404" customFormat="false" ht="15" hidden="false" customHeight="true" outlineLevel="0" collapsed="false">
      <c r="A404" s="1" t="s">
        <v>158</v>
      </c>
      <c r="B404" s="1" t="s">
        <v>53</v>
      </c>
      <c r="C404" s="1" t="s">
        <v>148</v>
      </c>
      <c r="D404" s="1" t="n">
        <v>4</v>
      </c>
      <c r="E404" s="1" t="n">
        <v>15</v>
      </c>
      <c r="F404" s="1" t="s">
        <v>47</v>
      </c>
      <c r="G404" s="1" t="s">
        <v>48</v>
      </c>
      <c r="H404" s="1" t="n">
        <v>27</v>
      </c>
      <c r="I404" s="1" t="n">
        <v>2543.94</v>
      </c>
      <c r="J404" s="1" t="n">
        <v>300</v>
      </c>
    </row>
    <row r="405" customFormat="false" ht="15" hidden="false" customHeight="true" outlineLevel="0" collapsed="false">
      <c r="A405" s="1" t="s">
        <v>158</v>
      </c>
      <c r="B405" s="1" t="s">
        <v>53</v>
      </c>
      <c r="C405" s="1" t="s">
        <v>148</v>
      </c>
      <c r="D405" s="1" t="n">
        <v>4</v>
      </c>
      <c r="E405" s="1" t="n">
        <v>15</v>
      </c>
      <c r="F405" s="1" t="s">
        <v>49</v>
      </c>
      <c r="G405" s="1" t="s">
        <v>49</v>
      </c>
      <c r="H405" s="1" t="n">
        <v>31</v>
      </c>
      <c r="I405" s="1" t="n">
        <v>2679.64</v>
      </c>
      <c r="J405" s="1" t="n">
        <v>300</v>
      </c>
    </row>
    <row r="406" customFormat="false" ht="15" hidden="false" customHeight="true" outlineLevel="0" collapsed="false">
      <c r="A406" s="1" t="s">
        <v>159</v>
      </c>
      <c r="B406" s="1" t="s">
        <v>55</v>
      </c>
      <c r="C406" s="1" t="s">
        <v>148</v>
      </c>
      <c r="D406" s="1" t="n">
        <v>4</v>
      </c>
      <c r="E406" s="1" t="n">
        <v>15</v>
      </c>
      <c r="F406" s="1" t="s">
        <v>43</v>
      </c>
      <c r="G406" s="1" t="s">
        <v>44</v>
      </c>
      <c r="H406" s="1" t="n">
        <v>20</v>
      </c>
      <c r="I406" s="1" t="n">
        <v>2233.4</v>
      </c>
      <c r="J406" s="1" t="n">
        <v>300</v>
      </c>
    </row>
    <row r="407" customFormat="false" ht="15" hidden="false" customHeight="true" outlineLevel="0" collapsed="false">
      <c r="A407" s="1" t="s">
        <v>159</v>
      </c>
      <c r="B407" s="1" t="s">
        <v>55</v>
      </c>
      <c r="C407" s="1" t="s">
        <v>148</v>
      </c>
      <c r="D407" s="1" t="n">
        <v>4</v>
      </c>
      <c r="E407" s="1" t="n">
        <v>15</v>
      </c>
      <c r="F407" s="1" t="s">
        <v>45</v>
      </c>
      <c r="G407" s="1" t="s">
        <v>46</v>
      </c>
      <c r="H407" s="1" t="n">
        <v>54</v>
      </c>
      <c r="I407" s="1" t="n">
        <v>5468.04</v>
      </c>
      <c r="J407" s="1" t="n">
        <v>300</v>
      </c>
    </row>
    <row r="408" customFormat="false" ht="15" hidden="false" customHeight="true" outlineLevel="0" collapsed="false">
      <c r="A408" s="1" t="s">
        <v>159</v>
      </c>
      <c r="B408" s="1" t="s">
        <v>55</v>
      </c>
      <c r="C408" s="1" t="s">
        <v>148</v>
      </c>
      <c r="D408" s="1" t="n">
        <v>4</v>
      </c>
      <c r="E408" s="1" t="n">
        <v>15</v>
      </c>
      <c r="F408" s="1" t="s">
        <v>47</v>
      </c>
      <c r="G408" s="1" t="s">
        <v>48</v>
      </c>
      <c r="H408" s="1" t="n">
        <v>17</v>
      </c>
      <c r="I408" s="1" t="n">
        <v>1651.21</v>
      </c>
      <c r="J408" s="1" t="n">
        <v>300</v>
      </c>
    </row>
    <row r="409" customFormat="false" ht="15" hidden="false" customHeight="true" outlineLevel="0" collapsed="false">
      <c r="A409" s="1" t="s">
        <v>159</v>
      </c>
      <c r="B409" s="1" t="s">
        <v>55</v>
      </c>
      <c r="C409" s="1" t="s">
        <v>148</v>
      </c>
      <c r="D409" s="1" t="n">
        <v>4</v>
      </c>
      <c r="E409" s="1" t="n">
        <v>15</v>
      </c>
      <c r="F409" s="1" t="s">
        <v>49</v>
      </c>
      <c r="G409" s="1" t="s">
        <v>49</v>
      </c>
      <c r="H409" s="1" t="n">
        <v>42</v>
      </c>
      <c r="I409" s="1" t="n">
        <v>3404.94</v>
      </c>
      <c r="J409" s="1" t="n">
        <v>300</v>
      </c>
    </row>
    <row r="410" customFormat="false" ht="15" hidden="false" customHeight="true" outlineLevel="0" collapsed="false">
      <c r="A410" s="1" t="s">
        <v>160</v>
      </c>
      <c r="B410" s="1" t="s">
        <v>57</v>
      </c>
      <c r="C410" s="1" t="s">
        <v>148</v>
      </c>
      <c r="D410" s="1" t="n">
        <v>4</v>
      </c>
      <c r="E410" s="1" t="n">
        <v>15</v>
      </c>
      <c r="F410" s="1" t="s">
        <v>43</v>
      </c>
      <c r="G410" s="1" t="s">
        <v>44</v>
      </c>
      <c r="H410" s="1" t="n">
        <v>18</v>
      </c>
      <c r="I410" s="1" t="n">
        <v>2237.4</v>
      </c>
      <c r="J410" s="1" t="n">
        <v>300</v>
      </c>
    </row>
    <row r="411" customFormat="false" ht="15" hidden="false" customHeight="true" outlineLevel="0" collapsed="false">
      <c r="A411" s="1" t="s">
        <v>160</v>
      </c>
      <c r="B411" s="1" t="s">
        <v>57</v>
      </c>
      <c r="C411" s="1" t="s">
        <v>148</v>
      </c>
      <c r="D411" s="1" t="n">
        <v>4</v>
      </c>
      <c r="E411" s="1" t="n">
        <v>15</v>
      </c>
      <c r="F411" s="1" t="s">
        <v>45</v>
      </c>
      <c r="G411" s="1" t="s">
        <v>46</v>
      </c>
      <c r="H411" s="1" t="n">
        <v>55</v>
      </c>
      <c r="I411" s="1" t="n">
        <v>6085.75</v>
      </c>
      <c r="J411" s="1" t="n">
        <v>300</v>
      </c>
    </row>
    <row r="412" customFormat="false" ht="15" hidden="false" customHeight="true" outlineLevel="0" collapsed="false">
      <c r="A412" s="1" t="s">
        <v>160</v>
      </c>
      <c r="B412" s="1" t="s">
        <v>57</v>
      </c>
      <c r="C412" s="1" t="s">
        <v>148</v>
      </c>
      <c r="D412" s="1" t="n">
        <v>4</v>
      </c>
      <c r="E412" s="1" t="n">
        <v>15</v>
      </c>
      <c r="F412" s="1" t="s">
        <v>47</v>
      </c>
      <c r="G412" s="1" t="s">
        <v>48</v>
      </c>
      <c r="H412" s="1" t="n">
        <v>14</v>
      </c>
      <c r="I412" s="1" t="n">
        <v>1457.68</v>
      </c>
      <c r="J412" s="1" t="n">
        <v>300</v>
      </c>
    </row>
    <row r="413" customFormat="false" ht="15" hidden="false" customHeight="true" outlineLevel="0" collapsed="false">
      <c r="A413" s="1" t="s">
        <v>160</v>
      </c>
      <c r="B413" s="1" t="s">
        <v>57</v>
      </c>
      <c r="C413" s="1" t="s">
        <v>148</v>
      </c>
      <c r="D413" s="1" t="n">
        <v>4</v>
      </c>
      <c r="E413" s="1" t="n">
        <v>15</v>
      </c>
      <c r="F413" s="1" t="s">
        <v>49</v>
      </c>
      <c r="G413" s="1" t="s">
        <v>49</v>
      </c>
      <c r="H413" s="1" t="n">
        <v>46</v>
      </c>
      <c r="I413" s="1" t="n">
        <v>4004.76</v>
      </c>
      <c r="J413" s="1" t="n">
        <v>300</v>
      </c>
    </row>
    <row r="414" customFormat="false" ht="15" hidden="false" customHeight="true" outlineLevel="0" collapsed="false">
      <c r="A414" s="1" t="s">
        <v>161</v>
      </c>
      <c r="B414" s="1" t="s">
        <v>59</v>
      </c>
      <c r="C414" s="1" t="s">
        <v>148</v>
      </c>
      <c r="D414" s="1" t="n">
        <v>4</v>
      </c>
      <c r="E414" s="1" t="n">
        <v>16</v>
      </c>
      <c r="F414" s="1" t="s">
        <v>43</v>
      </c>
      <c r="G414" s="1" t="s">
        <v>44</v>
      </c>
      <c r="H414" s="1" t="n">
        <v>91</v>
      </c>
      <c r="I414" s="1" t="n">
        <v>11674.39</v>
      </c>
      <c r="J414" s="1" t="n">
        <v>300</v>
      </c>
    </row>
    <row r="415" customFormat="false" ht="15" hidden="false" customHeight="true" outlineLevel="0" collapsed="false">
      <c r="A415" s="1" t="s">
        <v>161</v>
      </c>
      <c r="B415" s="1" t="s">
        <v>59</v>
      </c>
      <c r="C415" s="1" t="s">
        <v>148</v>
      </c>
      <c r="D415" s="1" t="n">
        <v>4</v>
      </c>
      <c r="E415" s="1" t="n">
        <v>16</v>
      </c>
      <c r="F415" s="1" t="s">
        <v>45</v>
      </c>
      <c r="G415" s="1" t="s">
        <v>46</v>
      </c>
      <c r="H415" s="1" t="n">
        <v>23</v>
      </c>
      <c r="I415" s="1" t="n">
        <v>2317.02</v>
      </c>
      <c r="J415" s="1" t="n">
        <v>300</v>
      </c>
    </row>
    <row r="416" customFormat="false" ht="15" hidden="false" customHeight="true" outlineLevel="0" collapsed="false">
      <c r="A416" s="1" t="s">
        <v>161</v>
      </c>
      <c r="B416" s="1" t="s">
        <v>59</v>
      </c>
      <c r="C416" s="1" t="s">
        <v>148</v>
      </c>
      <c r="D416" s="1" t="n">
        <v>4</v>
      </c>
      <c r="E416" s="1" t="n">
        <v>16</v>
      </c>
      <c r="F416" s="1" t="s">
        <v>47</v>
      </c>
      <c r="G416" s="1" t="s">
        <v>48</v>
      </c>
      <c r="H416" s="1" t="n">
        <v>27</v>
      </c>
      <c r="I416" s="1" t="n">
        <v>2548.26</v>
      </c>
      <c r="J416" s="1" t="n">
        <v>300</v>
      </c>
    </row>
    <row r="417" customFormat="false" ht="15" hidden="false" customHeight="true" outlineLevel="0" collapsed="false">
      <c r="A417" s="1" t="s">
        <v>161</v>
      </c>
      <c r="B417" s="1" t="s">
        <v>59</v>
      </c>
      <c r="C417" s="1" t="s">
        <v>148</v>
      </c>
      <c r="D417" s="1" t="n">
        <v>4</v>
      </c>
      <c r="E417" s="1" t="n">
        <v>16</v>
      </c>
      <c r="F417" s="1" t="s">
        <v>49</v>
      </c>
      <c r="G417" s="1" t="s">
        <v>49</v>
      </c>
      <c r="H417" s="1" t="n">
        <v>26</v>
      </c>
      <c r="I417" s="1" t="n">
        <v>2186.34</v>
      </c>
      <c r="J417" s="1" t="n">
        <v>300</v>
      </c>
    </row>
    <row r="418" customFormat="false" ht="15" hidden="false" customHeight="true" outlineLevel="0" collapsed="false">
      <c r="A418" s="1" t="s">
        <v>162</v>
      </c>
      <c r="B418" s="1" t="s">
        <v>61</v>
      </c>
      <c r="C418" s="1" t="s">
        <v>148</v>
      </c>
      <c r="D418" s="1" t="n">
        <v>4</v>
      </c>
      <c r="E418" s="1" t="n">
        <v>16</v>
      </c>
      <c r="F418" s="1" t="s">
        <v>43</v>
      </c>
      <c r="G418" s="1" t="s">
        <v>44</v>
      </c>
      <c r="H418" s="1" t="n">
        <v>86</v>
      </c>
      <c r="I418" s="1" t="n">
        <v>9680.16</v>
      </c>
      <c r="J418" s="1" t="n">
        <v>300</v>
      </c>
    </row>
    <row r="419" customFormat="false" ht="15" hidden="false" customHeight="true" outlineLevel="0" collapsed="false">
      <c r="A419" s="1" t="s">
        <v>162</v>
      </c>
      <c r="B419" s="1" t="s">
        <v>61</v>
      </c>
      <c r="C419" s="1" t="s">
        <v>148</v>
      </c>
      <c r="D419" s="1" t="n">
        <v>4</v>
      </c>
      <c r="E419" s="1" t="n">
        <v>16</v>
      </c>
      <c r="F419" s="1" t="s">
        <v>45</v>
      </c>
      <c r="G419" s="1" t="s">
        <v>46</v>
      </c>
      <c r="H419" s="1" t="n">
        <v>20</v>
      </c>
      <c r="I419" s="1" t="n">
        <v>2109.2</v>
      </c>
      <c r="J419" s="1" t="n">
        <v>300</v>
      </c>
    </row>
    <row r="420" customFormat="false" ht="15" hidden="false" customHeight="true" outlineLevel="0" collapsed="false">
      <c r="A420" s="1" t="s">
        <v>162</v>
      </c>
      <c r="B420" s="1" t="s">
        <v>61</v>
      </c>
      <c r="C420" s="1" t="s">
        <v>148</v>
      </c>
      <c r="D420" s="1" t="n">
        <v>4</v>
      </c>
      <c r="E420" s="1" t="n">
        <v>16</v>
      </c>
      <c r="F420" s="1" t="s">
        <v>47</v>
      </c>
      <c r="G420" s="1" t="s">
        <v>48</v>
      </c>
      <c r="H420" s="1" t="n">
        <v>32</v>
      </c>
      <c r="I420" s="1" t="n">
        <v>2888</v>
      </c>
      <c r="J420" s="1" t="n">
        <v>300</v>
      </c>
    </row>
    <row r="421" customFormat="false" ht="15" hidden="false" customHeight="true" outlineLevel="0" collapsed="false">
      <c r="A421" s="1" t="s">
        <v>162</v>
      </c>
      <c r="B421" s="1" t="s">
        <v>61</v>
      </c>
      <c r="C421" s="1" t="s">
        <v>148</v>
      </c>
      <c r="D421" s="1" t="n">
        <v>4</v>
      </c>
      <c r="E421" s="1" t="n">
        <v>16</v>
      </c>
      <c r="F421" s="1" t="s">
        <v>49</v>
      </c>
      <c r="G421" s="1" t="s">
        <v>49</v>
      </c>
      <c r="H421" s="1" t="n">
        <v>33</v>
      </c>
      <c r="I421" s="1" t="n">
        <v>2899.38</v>
      </c>
      <c r="J421" s="1" t="n">
        <v>300</v>
      </c>
    </row>
    <row r="422" customFormat="false" ht="15" hidden="false" customHeight="true" outlineLevel="0" collapsed="false">
      <c r="A422" s="1" t="s">
        <v>163</v>
      </c>
      <c r="B422" s="1" t="s">
        <v>41</v>
      </c>
      <c r="C422" s="1" t="s">
        <v>148</v>
      </c>
      <c r="D422" s="1" t="n">
        <v>4</v>
      </c>
      <c r="E422" s="1" t="n">
        <v>16</v>
      </c>
      <c r="F422" s="1" t="s">
        <v>43</v>
      </c>
      <c r="G422" s="1" t="s">
        <v>44</v>
      </c>
      <c r="H422" s="1" t="n">
        <v>95</v>
      </c>
      <c r="I422" s="1" t="n">
        <v>11664.1</v>
      </c>
      <c r="J422" s="1" t="n">
        <v>300</v>
      </c>
    </row>
    <row r="423" customFormat="false" ht="15" hidden="false" customHeight="true" outlineLevel="0" collapsed="false">
      <c r="A423" s="1" t="s">
        <v>163</v>
      </c>
      <c r="B423" s="1" t="s">
        <v>41</v>
      </c>
      <c r="C423" s="1" t="s">
        <v>148</v>
      </c>
      <c r="D423" s="1" t="n">
        <v>4</v>
      </c>
      <c r="E423" s="1" t="n">
        <v>16</v>
      </c>
      <c r="F423" s="1" t="s">
        <v>45</v>
      </c>
      <c r="G423" s="1" t="s">
        <v>46</v>
      </c>
      <c r="H423" s="1" t="n">
        <v>18</v>
      </c>
      <c r="I423" s="1" t="n">
        <v>1915.02</v>
      </c>
      <c r="J423" s="1" t="n">
        <v>300</v>
      </c>
    </row>
    <row r="424" customFormat="false" ht="15" hidden="false" customHeight="true" outlineLevel="0" collapsed="false">
      <c r="A424" s="1" t="s">
        <v>163</v>
      </c>
      <c r="B424" s="1" t="s">
        <v>41</v>
      </c>
      <c r="C424" s="1" t="s">
        <v>148</v>
      </c>
      <c r="D424" s="1" t="n">
        <v>4</v>
      </c>
      <c r="E424" s="1" t="n">
        <v>16</v>
      </c>
      <c r="F424" s="1" t="s">
        <v>47</v>
      </c>
      <c r="G424" s="1" t="s">
        <v>48</v>
      </c>
      <c r="H424" s="1" t="n">
        <v>28</v>
      </c>
      <c r="I424" s="1" t="n">
        <v>2767.52</v>
      </c>
      <c r="J424" s="1" t="n">
        <v>300</v>
      </c>
    </row>
    <row r="425" customFormat="false" ht="15" hidden="false" customHeight="true" outlineLevel="0" collapsed="false">
      <c r="A425" s="1" t="s">
        <v>163</v>
      </c>
      <c r="B425" s="1" t="s">
        <v>41</v>
      </c>
      <c r="C425" s="1" t="s">
        <v>148</v>
      </c>
      <c r="D425" s="1" t="n">
        <v>4</v>
      </c>
      <c r="E425" s="1" t="n">
        <v>16</v>
      </c>
      <c r="F425" s="1" t="s">
        <v>49</v>
      </c>
      <c r="G425" s="1" t="s">
        <v>49</v>
      </c>
      <c r="H425" s="1" t="n">
        <v>31</v>
      </c>
      <c r="I425" s="1" t="n">
        <v>3165.41</v>
      </c>
      <c r="J425" s="1" t="n">
        <v>300</v>
      </c>
    </row>
    <row r="426" customFormat="false" ht="15" hidden="false" customHeight="true" outlineLevel="0" collapsed="false">
      <c r="A426" s="1" t="s">
        <v>164</v>
      </c>
      <c r="B426" s="1" t="s">
        <v>51</v>
      </c>
      <c r="C426" s="1" t="s">
        <v>148</v>
      </c>
      <c r="D426" s="1" t="n">
        <v>4</v>
      </c>
      <c r="E426" s="1" t="n">
        <v>16</v>
      </c>
      <c r="F426" s="1" t="s">
        <v>43</v>
      </c>
      <c r="G426" s="1" t="s">
        <v>44</v>
      </c>
      <c r="H426" s="1" t="n">
        <v>90</v>
      </c>
      <c r="I426" s="1" t="n">
        <v>10281.6</v>
      </c>
      <c r="J426" s="1" t="n">
        <v>300</v>
      </c>
    </row>
    <row r="427" customFormat="false" ht="15" hidden="false" customHeight="true" outlineLevel="0" collapsed="false">
      <c r="A427" s="1" t="s">
        <v>164</v>
      </c>
      <c r="B427" s="1" t="s">
        <v>51</v>
      </c>
      <c r="C427" s="1" t="s">
        <v>148</v>
      </c>
      <c r="D427" s="1" t="n">
        <v>4</v>
      </c>
      <c r="E427" s="1" t="n">
        <v>16</v>
      </c>
      <c r="F427" s="1" t="s">
        <v>45</v>
      </c>
      <c r="G427" s="1" t="s">
        <v>46</v>
      </c>
      <c r="H427" s="1" t="n">
        <v>19</v>
      </c>
      <c r="I427" s="1" t="n">
        <v>1910.07</v>
      </c>
      <c r="J427" s="1" t="n">
        <v>300</v>
      </c>
    </row>
    <row r="428" customFormat="false" ht="15" hidden="false" customHeight="true" outlineLevel="0" collapsed="false">
      <c r="A428" s="1" t="s">
        <v>164</v>
      </c>
      <c r="B428" s="1" t="s">
        <v>51</v>
      </c>
      <c r="C428" s="1" t="s">
        <v>148</v>
      </c>
      <c r="D428" s="1" t="n">
        <v>4</v>
      </c>
      <c r="E428" s="1" t="n">
        <v>16</v>
      </c>
      <c r="F428" s="1" t="s">
        <v>47</v>
      </c>
      <c r="G428" s="1" t="s">
        <v>48</v>
      </c>
      <c r="H428" s="1" t="n">
        <v>26</v>
      </c>
      <c r="I428" s="1" t="n">
        <v>2674.1</v>
      </c>
      <c r="J428" s="1" t="n">
        <v>300</v>
      </c>
    </row>
    <row r="429" customFormat="false" ht="15" hidden="false" customHeight="true" outlineLevel="0" collapsed="false">
      <c r="A429" s="1" t="s">
        <v>164</v>
      </c>
      <c r="B429" s="1" t="s">
        <v>51</v>
      </c>
      <c r="C429" s="1" t="s">
        <v>148</v>
      </c>
      <c r="D429" s="1" t="n">
        <v>4</v>
      </c>
      <c r="E429" s="1" t="n">
        <v>16</v>
      </c>
      <c r="F429" s="1" t="s">
        <v>49</v>
      </c>
      <c r="G429" s="1" t="s">
        <v>49</v>
      </c>
      <c r="H429" s="1" t="n">
        <v>34</v>
      </c>
      <c r="I429" s="1" t="n">
        <v>2922.3</v>
      </c>
      <c r="J429" s="1" t="n">
        <v>300</v>
      </c>
    </row>
    <row r="430" customFormat="false" ht="15" hidden="false" customHeight="true" outlineLevel="0" collapsed="false">
      <c r="A430" s="1" t="s">
        <v>165</v>
      </c>
      <c r="B430" s="1" t="s">
        <v>53</v>
      </c>
      <c r="C430" s="1" t="s">
        <v>148</v>
      </c>
      <c r="D430" s="1" t="n">
        <v>4</v>
      </c>
      <c r="E430" s="1" t="n">
        <v>16</v>
      </c>
      <c r="F430" s="1" t="s">
        <v>43</v>
      </c>
      <c r="G430" s="1" t="s">
        <v>44</v>
      </c>
      <c r="H430" s="1" t="n">
        <v>88</v>
      </c>
      <c r="I430" s="1" t="n">
        <v>10677.92</v>
      </c>
      <c r="J430" s="1" t="n">
        <v>300</v>
      </c>
    </row>
    <row r="431" customFormat="false" ht="15" hidden="false" customHeight="true" outlineLevel="0" collapsed="false">
      <c r="A431" s="1" t="s">
        <v>165</v>
      </c>
      <c r="B431" s="1" t="s">
        <v>53</v>
      </c>
      <c r="C431" s="1" t="s">
        <v>148</v>
      </c>
      <c r="D431" s="1" t="n">
        <v>4</v>
      </c>
      <c r="E431" s="1" t="n">
        <v>16</v>
      </c>
      <c r="F431" s="1" t="s">
        <v>45</v>
      </c>
      <c r="G431" s="1" t="s">
        <v>46</v>
      </c>
      <c r="H431" s="1" t="n">
        <v>19</v>
      </c>
      <c r="I431" s="1" t="n">
        <v>2051.05</v>
      </c>
      <c r="J431" s="1" t="n">
        <v>300</v>
      </c>
    </row>
    <row r="432" customFormat="false" ht="15" hidden="false" customHeight="true" outlineLevel="0" collapsed="false">
      <c r="A432" s="1" t="s">
        <v>165</v>
      </c>
      <c r="B432" s="1" t="s">
        <v>53</v>
      </c>
      <c r="C432" s="1" t="s">
        <v>148</v>
      </c>
      <c r="D432" s="1" t="n">
        <v>4</v>
      </c>
      <c r="E432" s="1" t="n">
        <v>16</v>
      </c>
      <c r="F432" s="1" t="s">
        <v>47</v>
      </c>
      <c r="G432" s="1" t="s">
        <v>48</v>
      </c>
      <c r="H432" s="1" t="n">
        <v>29</v>
      </c>
      <c r="I432" s="1" t="n">
        <v>2530.83</v>
      </c>
      <c r="J432" s="1" t="n">
        <v>300</v>
      </c>
    </row>
    <row r="433" customFormat="false" ht="15" hidden="false" customHeight="true" outlineLevel="0" collapsed="false">
      <c r="A433" s="1" t="s">
        <v>165</v>
      </c>
      <c r="B433" s="1" t="s">
        <v>53</v>
      </c>
      <c r="C433" s="1" t="s">
        <v>148</v>
      </c>
      <c r="D433" s="1" t="n">
        <v>4</v>
      </c>
      <c r="E433" s="1" t="n">
        <v>16</v>
      </c>
      <c r="F433" s="1" t="s">
        <v>49</v>
      </c>
      <c r="G433" s="1" t="s">
        <v>49</v>
      </c>
      <c r="H433" s="1" t="n">
        <v>34</v>
      </c>
      <c r="I433" s="1" t="n">
        <v>3352.06</v>
      </c>
      <c r="J433" s="1" t="n">
        <v>300</v>
      </c>
    </row>
    <row r="434" customFormat="false" ht="15" hidden="false" customHeight="true" outlineLevel="0" collapsed="false">
      <c r="A434" s="1" t="s">
        <v>166</v>
      </c>
      <c r="B434" s="1" t="s">
        <v>55</v>
      </c>
      <c r="C434" s="1" t="s">
        <v>148</v>
      </c>
      <c r="D434" s="1" t="n">
        <v>4</v>
      </c>
      <c r="E434" s="1" t="n">
        <v>16</v>
      </c>
      <c r="F434" s="1" t="s">
        <v>43</v>
      </c>
      <c r="G434" s="1" t="s">
        <v>44</v>
      </c>
      <c r="H434" s="1" t="n">
        <v>17</v>
      </c>
      <c r="I434" s="1" t="n">
        <v>1959.42</v>
      </c>
      <c r="J434" s="1" t="n">
        <v>300</v>
      </c>
    </row>
    <row r="435" customFormat="false" ht="15" hidden="false" customHeight="true" outlineLevel="0" collapsed="false">
      <c r="A435" s="1" t="s">
        <v>166</v>
      </c>
      <c r="B435" s="1" t="s">
        <v>55</v>
      </c>
      <c r="C435" s="1" t="s">
        <v>148</v>
      </c>
      <c r="D435" s="1" t="n">
        <v>4</v>
      </c>
      <c r="E435" s="1" t="n">
        <v>16</v>
      </c>
      <c r="F435" s="1" t="s">
        <v>45</v>
      </c>
      <c r="G435" s="1" t="s">
        <v>46</v>
      </c>
      <c r="H435" s="1" t="n">
        <v>56</v>
      </c>
      <c r="I435" s="1" t="n">
        <v>5941.04</v>
      </c>
      <c r="J435" s="1" t="n">
        <v>300</v>
      </c>
    </row>
    <row r="436" customFormat="false" ht="15" hidden="false" customHeight="true" outlineLevel="0" collapsed="false">
      <c r="A436" s="1" t="s">
        <v>166</v>
      </c>
      <c r="B436" s="1" t="s">
        <v>55</v>
      </c>
      <c r="C436" s="1" t="s">
        <v>148</v>
      </c>
      <c r="D436" s="1" t="n">
        <v>4</v>
      </c>
      <c r="E436" s="1" t="n">
        <v>16</v>
      </c>
      <c r="F436" s="1" t="s">
        <v>47</v>
      </c>
      <c r="G436" s="1" t="s">
        <v>48</v>
      </c>
      <c r="H436" s="1" t="n">
        <v>16</v>
      </c>
      <c r="I436" s="1" t="n">
        <v>1721.28</v>
      </c>
      <c r="J436" s="1" t="n">
        <v>300</v>
      </c>
    </row>
    <row r="437" customFormat="false" ht="15" hidden="false" customHeight="true" outlineLevel="0" collapsed="false">
      <c r="A437" s="1" t="s">
        <v>166</v>
      </c>
      <c r="B437" s="1" t="s">
        <v>55</v>
      </c>
      <c r="C437" s="1" t="s">
        <v>148</v>
      </c>
      <c r="D437" s="1" t="n">
        <v>4</v>
      </c>
      <c r="E437" s="1" t="n">
        <v>16</v>
      </c>
      <c r="F437" s="1" t="s">
        <v>49</v>
      </c>
      <c r="G437" s="1" t="s">
        <v>49</v>
      </c>
      <c r="H437" s="1" t="n">
        <v>37</v>
      </c>
      <c r="I437" s="1" t="n">
        <v>3135.38</v>
      </c>
      <c r="J437" s="1" t="n">
        <v>300</v>
      </c>
    </row>
    <row r="438" customFormat="false" ht="15" hidden="false" customHeight="true" outlineLevel="0" collapsed="false">
      <c r="A438" s="1" t="s">
        <v>167</v>
      </c>
      <c r="B438" s="1" t="s">
        <v>57</v>
      </c>
      <c r="C438" s="1" t="s">
        <v>148</v>
      </c>
      <c r="D438" s="1" t="n">
        <v>4</v>
      </c>
      <c r="E438" s="1" t="n">
        <v>16</v>
      </c>
      <c r="F438" s="1" t="s">
        <v>43</v>
      </c>
      <c r="G438" s="1" t="s">
        <v>44</v>
      </c>
      <c r="H438" s="1" t="n">
        <v>16</v>
      </c>
      <c r="I438" s="1" t="n">
        <v>1805.28</v>
      </c>
      <c r="J438" s="1" t="n">
        <v>300</v>
      </c>
    </row>
    <row r="439" customFormat="false" ht="15" hidden="false" customHeight="true" outlineLevel="0" collapsed="false">
      <c r="A439" s="1" t="s">
        <v>167</v>
      </c>
      <c r="B439" s="1" t="s">
        <v>57</v>
      </c>
      <c r="C439" s="1" t="s">
        <v>148</v>
      </c>
      <c r="D439" s="1" t="n">
        <v>4</v>
      </c>
      <c r="E439" s="1" t="n">
        <v>16</v>
      </c>
      <c r="F439" s="1" t="s">
        <v>45</v>
      </c>
      <c r="G439" s="1" t="s">
        <v>46</v>
      </c>
      <c r="H439" s="1" t="n">
        <v>55</v>
      </c>
      <c r="I439" s="1" t="n">
        <v>6336</v>
      </c>
      <c r="J439" s="1" t="n">
        <v>300</v>
      </c>
    </row>
    <row r="440" customFormat="false" ht="15" hidden="false" customHeight="true" outlineLevel="0" collapsed="false">
      <c r="A440" s="1" t="s">
        <v>167</v>
      </c>
      <c r="B440" s="1" t="s">
        <v>57</v>
      </c>
      <c r="C440" s="1" t="s">
        <v>148</v>
      </c>
      <c r="D440" s="1" t="n">
        <v>4</v>
      </c>
      <c r="E440" s="1" t="n">
        <v>16</v>
      </c>
      <c r="F440" s="1" t="s">
        <v>47</v>
      </c>
      <c r="G440" s="1" t="s">
        <v>48</v>
      </c>
      <c r="H440" s="1" t="n">
        <v>14</v>
      </c>
      <c r="I440" s="1" t="n">
        <v>1362.06</v>
      </c>
      <c r="J440" s="1" t="n">
        <v>300</v>
      </c>
    </row>
    <row r="441" customFormat="false" ht="15" hidden="false" customHeight="true" outlineLevel="0" collapsed="false">
      <c r="A441" s="1" t="s">
        <v>167</v>
      </c>
      <c r="B441" s="1" t="s">
        <v>57</v>
      </c>
      <c r="C441" s="1" t="s">
        <v>148</v>
      </c>
      <c r="D441" s="1" t="n">
        <v>4</v>
      </c>
      <c r="E441" s="1" t="n">
        <v>16</v>
      </c>
      <c r="F441" s="1" t="s">
        <v>49</v>
      </c>
      <c r="G441" s="1" t="s">
        <v>49</v>
      </c>
      <c r="H441" s="1" t="n">
        <v>38</v>
      </c>
      <c r="I441" s="1" t="n">
        <v>3623.3</v>
      </c>
      <c r="J441" s="1" t="n">
        <v>300</v>
      </c>
    </row>
    <row r="442" customFormat="false" ht="15" hidden="false" customHeight="true" outlineLevel="0" collapsed="false">
      <c r="A442" s="1" t="s">
        <v>168</v>
      </c>
      <c r="B442" s="1" t="s">
        <v>59</v>
      </c>
      <c r="C442" s="1" t="s">
        <v>148</v>
      </c>
      <c r="D442" s="1" t="n">
        <v>4</v>
      </c>
      <c r="E442" s="1" t="n">
        <v>17</v>
      </c>
      <c r="F442" s="1" t="s">
        <v>43</v>
      </c>
      <c r="G442" s="1" t="s">
        <v>44</v>
      </c>
      <c r="H442" s="1" t="n">
        <v>117</v>
      </c>
      <c r="I442" s="1" t="n">
        <v>13366.08</v>
      </c>
      <c r="J442" s="1" t="n">
        <v>300</v>
      </c>
    </row>
    <row r="443" customFormat="false" ht="15" hidden="false" customHeight="true" outlineLevel="0" collapsed="false">
      <c r="A443" s="1" t="s">
        <v>168</v>
      </c>
      <c r="B443" s="1" t="s">
        <v>59</v>
      </c>
      <c r="C443" s="1" t="s">
        <v>148</v>
      </c>
      <c r="D443" s="1" t="n">
        <v>4</v>
      </c>
      <c r="E443" s="1" t="n">
        <v>17</v>
      </c>
      <c r="F443" s="1" t="s">
        <v>45</v>
      </c>
      <c r="G443" s="1" t="s">
        <v>46</v>
      </c>
      <c r="H443" s="1" t="n">
        <v>19</v>
      </c>
      <c r="I443" s="1" t="n">
        <v>2099.88</v>
      </c>
      <c r="J443" s="1" t="n">
        <v>300</v>
      </c>
    </row>
    <row r="444" customFormat="false" ht="15" hidden="false" customHeight="true" outlineLevel="0" collapsed="false">
      <c r="A444" s="1" t="s">
        <v>168</v>
      </c>
      <c r="B444" s="1" t="s">
        <v>59</v>
      </c>
      <c r="C444" s="1" t="s">
        <v>148</v>
      </c>
      <c r="D444" s="1" t="n">
        <v>4</v>
      </c>
      <c r="E444" s="1" t="n">
        <v>17</v>
      </c>
      <c r="F444" s="1" t="s">
        <v>47</v>
      </c>
      <c r="G444" s="1" t="s">
        <v>48</v>
      </c>
      <c r="H444" s="1" t="n">
        <v>30</v>
      </c>
      <c r="I444" s="1" t="n">
        <v>3199.2</v>
      </c>
      <c r="J444" s="1" t="n">
        <v>300</v>
      </c>
    </row>
    <row r="445" customFormat="false" ht="15" hidden="false" customHeight="true" outlineLevel="0" collapsed="false">
      <c r="A445" s="1" t="s">
        <v>168</v>
      </c>
      <c r="B445" s="1" t="s">
        <v>59</v>
      </c>
      <c r="C445" s="1" t="s">
        <v>148</v>
      </c>
      <c r="D445" s="1" t="n">
        <v>4</v>
      </c>
      <c r="E445" s="1" t="n">
        <v>17</v>
      </c>
      <c r="F445" s="1" t="s">
        <v>49</v>
      </c>
      <c r="G445" s="1" t="s">
        <v>49</v>
      </c>
      <c r="H445" s="1" t="n">
        <v>32</v>
      </c>
      <c r="I445" s="1" t="n">
        <v>2786.56</v>
      </c>
      <c r="J445" s="1" t="n">
        <v>300</v>
      </c>
    </row>
    <row r="446" customFormat="false" ht="15" hidden="false" customHeight="true" outlineLevel="0" collapsed="false">
      <c r="A446" s="1" t="s">
        <v>169</v>
      </c>
      <c r="B446" s="1" t="s">
        <v>61</v>
      </c>
      <c r="C446" s="1" t="s">
        <v>148</v>
      </c>
      <c r="D446" s="1" t="n">
        <v>4</v>
      </c>
      <c r="E446" s="1" t="n">
        <v>17</v>
      </c>
      <c r="F446" s="1" t="s">
        <v>43</v>
      </c>
      <c r="G446" s="1" t="s">
        <v>44</v>
      </c>
      <c r="H446" s="1" t="n">
        <v>100</v>
      </c>
      <c r="I446" s="1" t="n">
        <v>12585</v>
      </c>
      <c r="J446" s="1" t="n">
        <v>300</v>
      </c>
    </row>
    <row r="447" customFormat="false" ht="15" hidden="false" customHeight="true" outlineLevel="0" collapsed="false">
      <c r="A447" s="1" t="s">
        <v>169</v>
      </c>
      <c r="B447" s="1" t="s">
        <v>61</v>
      </c>
      <c r="C447" s="1" t="s">
        <v>148</v>
      </c>
      <c r="D447" s="1" t="n">
        <v>4</v>
      </c>
      <c r="E447" s="1" t="n">
        <v>17</v>
      </c>
      <c r="F447" s="1" t="s">
        <v>45</v>
      </c>
      <c r="G447" s="1" t="s">
        <v>46</v>
      </c>
      <c r="H447" s="1" t="n">
        <v>21</v>
      </c>
      <c r="I447" s="1" t="n">
        <v>2250.57</v>
      </c>
      <c r="J447" s="1" t="n">
        <v>300</v>
      </c>
    </row>
    <row r="448" customFormat="false" ht="15" hidden="false" customHeight="true" outlineLevel="0" collapsed="false">
      <c r="A448" s="1" t="s">
        <v>169</v>
      </c>
      <c r="B448" s="1" t="s">
        <v>61</v>
      </c>
      <c r="C448" s="1" t="s">
        <v>148</v>
      </c>
      <c r="D448" s="1" t="n">
        <v>4</v>
      </c>
      <c r="E448" s="1" t="n">
        <v>17</v>
      </c>
      <c r="F448" s="1" t="s">
        <v>47</v>
      </c>
      <c r="G448" s="1" t="s">
        <v>48</v>
      </c>
      <c r="H448" s="1" t="n">
        <v>31</v>
      </c>
      <c r="I448" s="1" t="n">
        <v>3184.94</v>
      </c>
      <c r="J448" s="1" t="n">
        <v>300</v>
      </c>
    </row>
    <row r="449" customFormat="false" ht="15" hidden="false" customHeight="true" outlineLevel="0" collapsed="false">
      <c r="A449" s="1" t="s">
        <v>169</v>
      </c>
      <c r="B449" s="1" t="s">
        <v>61</v>
      </c>
      <c r="C449" s="1" t="s">
        <v>148</v>
      </c>
      <c r="D449" s="1" t="n">
        <v>4</v>
      </c>
      <c r="E449" s="1" t="n">
        <v>17</v>
      </c>
      <c r="F449" s="1" t="s">
        <v>49</v>
      </c>
      <c r="G449" s="1" t="s">
        <v>49</v>
      </c>
      <c r="H449" s="1" t="n">
        <v>34</v>
      </c>
      <c r="I449" s="1" t="n">
        <v>3143.64</v>
      </c>
      <c r="J449" s="1" t="n">
        <v>300</v>
      </c>
    </row>
    <row r="450" customFormat="false" ht="15" hidden="false" customHeight="true" outlineLevel="0" collapsed="false">
      <c r="A450" s="1" t="s">
        <v>170</v>
      </c>
      <c r="B450" s="1" t="s">
        <v>41</v>
      </c>
      <c r="C450" s="1" t="s">
        <v>148</v>
      </c>
      <c r="D450" s="1" t="n">
        <v>4</v>
      </c>
      <c r="E450" s="1" t="n">
        <v>17</v>
      </c>
      <c r="F450" s="1" t="s">
        <v>43</v>
      </c>
      <c r="G450" s="1" t="s">
        <v>44</v>
      </c>
      <c r="H450" s="1" t="n">
        <v>94</v>
      </c>
      <c r="I450" s="1" t="n">
        <v>11189.76</v>
      </c>
      <c r="J450" s="1" t="n">
        <v>300</v>
      </c>
    </row>
    <row r="451" customFormat="false" ht="15" hidden="false" customHeight="true" outlineLevel="0" collapsed="false">
      <c r="A451" s="1" t="s">
        <v>170</v>
      </c>
      <c r="B451" s="1" t="s">
        <v>41</v>
      </c>
      <c r="C451" s="1" t="s">
        <v>148</v>
      </c>
      <c r="D451" s="1" t="n">
        <v>4</v>
      </c>
      <c r="E451" s="1" t="n">
        <v>17</v>
      </c>
      <c r="F451" s="1" t="s">
        <v>45</v>
      </c>
      <c r="G451" s="1" t="s">
        <v>46</v>
      </c>
      <c r="H451" s="1" t="n">
        <v>22</v>
      </c>
      <c r="I451" s="1" t="n">
        <v>2175.8</v>
      </c>
      <c r="J451" s="1" t="n">
        <v>300</v>
      </c>
    </row>
    <row r="452" customFormat="false" ht="15" hidden="false" customHeight="true" outlineLevel="0" collapsed="false">
      <c r="A452" s="1" t="s">
        <v>170</v>
      </c>
      <c r="B452" s="1" t="s">
        <v>41</v>
      </c>
      <c r="C452" s="1" t="s">
        <v>148</v>
      </c>
      <c r="D452" s="1" t="n">
        <v>4</v>
      </c>
      <c r="E452" s="1" t="n">
        <v>17</v>
      </c>
      <c r="F452" s="1" t="s">
        <v>47</v>
      </c>
      <c r="G452" s="1" t="s">
        <v>48</v>
      </c>
      <c r="H452" s="1" t="n">
        <v>29</v>
      </c>
      <c r="I452" s="1" t="n">
        <v>2718.17</v>
      </c>
      <c r="J452" s="1" t="n">
        <v>300</v>
      </c>
    </row>
    <row r="453" customFormat="false" ht="15" hidden="false" customHeight="true" outlineLevel="0" collapsed="false">
      <c r="A453" s="1" t="s">
        <v>170</v>
      </c>
      <c r="B453" s="1" t="s">
        <v>41</v>
      </c>
      <c r="C453" s="1" t="s">
        <v>148</v>
      </c>
      <c r="D453" s="1" t="n">
        <v>4</v>
      </c>
      <c r="E453" s="1" t="n">
        <v>17</v>
      </c>
      <c r="F453" s="1" t="s">
        <v>49</v>
      </c>
      <c r="G453" s="1" t="s">
        <v>49</v>
      </c>
      <c r="H453" s="1" t="n">
        <v>30</v>
      </c>
      <c r="I453" s="1" t="n">
        <v>2874.9</v>
      </c>
      <c r="J453" s="1" t="n">
        <v>300</v>
      </c>
    </row>
    <row r="454" customFormat="false" ht="15" hidden="false" customHeight="true" outlineLevel="0" collapsed="false">
      <c r="A454" s="1" t="s">
        <v>171</v>
      </c>
      <c r="B454" s="1" t="s">
        <v>51</v>
      </c>
      <c r="C454" s="1" t="s">
        <v>148</v>
      </c>
      <c r="D454" s="1" t="n">
        <v>4</v>
      </c>
      <c r="E454" s="1" t="n">
        <v>17</v>
      </c>
      <c r="F454" s="1" t="s">
        <v>43</v>
      </c>
      <c r="G454" s="1" t="s">
        <v>44</v>
      </c>
      <c r="H454" s="1" t="n">
        <v>97</v>
      </c>
      <c r="I454" s="1" t="n">
        <v>11478.01</v>
      </c>
      <c r="J454" s="1" t="n">
        <v>300</v>
      </c>
    </row>
    <row r="455" customFormat="false" ht="15" hidden="false" customHeight="true" outlineLevel="0" collapsed="false">
      <c r="A455" s="1" t="s">
        <v>171</v>
      </c>
      <c r="B455" s="1" t="s">
        <v>51</v>
      </c>
      <c r="C455" s="1" t="s">
        <v>148</v>
      </c>
      <c r="D455" s="1" t="n">
        <v>4</v>
      </c>
      <c r="E455" s="1" t="n">
        <v>17</v>
      </c>
      <c r="F455" s="1" t="s">
        <v>45</v>
      </c>
      <c r="G455" s="1" t="s">
        <v>46</v>
      </c>
      <c r="H455" s="1" t="n">
        <v>18</v>
      </c>
      <c r="I455" s="1" t="n">
        <v>1955.88</v>
      </c>
      <c r="J455" s="1" t="n">
        <v>300</v>
      </c>
    </row>
    <row r="456" customFormat="false" ht="15" hidden="false" customHeight="true" outlineLevel="0" collapsed="false">
      <c r="A456" s="1" t="s">
        <v>171</v>
      </c>
      <c r="B456" s="1" t="s">
        <v>51</v>
      </c>
      <c r="C456" s="1" t="s">
        <v>148</v>
      </c>
      <c r="D456" s="1" t="n">
        <v>4</v>
      </c>
      <c r="E456" s="1" t="n">
        <v>17</v>
      </c>
      <c r="F456" s="1" t="s">
        <v>47</v>
      </c>
      <c r="G456" s="1" t="s">
        <v>48</v>
      </c>
      <c r="H456" s="1" t="n">
        <v>30</v>
      </c>
      <c r="I456" s="1" t="n">
        <v>3253.8</v>
      </c>
      <c r="J456" s="1" t="n">
        <v>300</v>
      </c>
    </row>
    <row r="457" customFormat="false" ht="15" hidden="false" customHeight="true" outlineLevel="0" collapsed="false">
      <c r="A457" s="1" t="s">
        <v>171</v>
      </c>
      <c r="B457" s="1" t="s">
        <v>51</v>
      </c>
      <c r="C457" s="1" t="s">
        <v>148</v>
      </c>
      <c r="D457" s="1" t="n">
        <v>4</v>
      </c>
      <c r="E457" s="1" t="n">
        <v>17</v>
      </c>
      <c r="F457" s="1" t="s">
        <v>49</v>
      </c>
      <c r="G457" s="1" t="s">
        <v>49</v>
      </c>
      <c r="H457" s="1" t="n">
        <v>29</v>
      </c>
      <c r="I457" s="1" t="n">
        <v>2614.93</v>
      </c>
      <c r="J457" s="1" t="n">
        <v>300</v>
      </c>
    </row>
    <row r="458" customFormat="false" ht="15" hidden="false" customHeight="true" outlineLevel="0" collapsed="false">
      <c r="A458" s="1" t="s">
        <v>172</v>
      </c>
      <c r="B458" s="1" t="s">
        <v>53</v>
      </c>
      <c r="C458" s="1" t="s">
        <v>148</v>
      </c>
      <c r="D458" s="1" t="n">
        <v>4</v>
      </c>
      <c r="E458" s="1" t="n">
        <v>17</v>
      </c>
      <c r="F458" s="1" t="s">
        <v>43</v>
      </c>
      <c r="G458" s="1" t="s">
        <v>44</v>
      </c>
      <c r="H458" s="1" t="n">
        <v>97</v>
      </c>
      <c r="I458" s="1" t="n">
        <v>12529.49</v>
      </c>
      <c r="J458" s="1" t="n">
        <v>300</v>
      </c>
    </row>
    <row r="459" customFormat="false" ht="15" hidden="false" customHeight="true" outlineLevel="0" collapsed="false">
      <c r="A459" s="1" t="s">
        <v>172</v>
      </c>
      <c r="B459" s="1" t="s">
        <v>53</v>
      </c>
      <c r="C459" s="1" t="s">
        <v>148</v>
      </c>
      <c r="D459" s="1" t="n">
        <v>4</v>
      </c>
      <c r="E459" s="1" t="n">
        <v>17</v>
      </c>
      <c r="F459" s="1" t="s">
        <v>45</v>
      </c>
      <c r="G459" s="1" t="s">
        <v>46</v>
      </c>
      <c r="H459" s="1" t="n">
        <v>20</v>
      </c>
      <c r="I459" s="1" t="n">
        <v>2114.8</v>
      </c>
      <c r="J459" s="1" t="n">
        <v>300</v>
      </c>
    </row>
    <row r="460" customFormat="false" ht="15" hidden="false" customHeight="true" outlineLevel="0" collapsed="false">
      <c r="A460" s="1" t="s">
        <v>172</v>
      </c>
      <c r="B460" s="1" t="s">
        <v>53</v>
      </c>
      <c r="C460" s="1" t="s">
        <v>148</v>
      </c>
      <c r="D460" s="1" t="n">
        <v>4</v>
      </c>
      <c r="E460" s="1" t="n">
        <v>17</v>
      </c>
      <c r="F460" s="1" t="s">
        <v>47</v>
      </c>
      <c r="G460" s="1" t="s">
        <v>48</v>
      </c>
      <c r="H460" s="1" t="n">
        <v>30</v>
      </c>
      <c r="I460" s="1" t="n">
        <v>2912.1</v>
      </c>
      <c r="J460" s="1" t="n">
        <v>300</v>
      </c>
    </row>
    <row r="461" customFormat="false" ht="15" hidden="false" customHeight="true" outlineLevel="0" collapsed="false">
      <c r="A461" s="1" t="s">
        <v>172</v>
      </c>
      <c r="B461" s="1" t="s">
        <v>53</v>
      </c>
      <c r="C461" s="1" t="s">
        <v>148</v>
      </c>
      <c r="D461" s="1" t="n">
        <v>4</v>
      </c>
      <c r="E461" s="1" t="n">
        <v>17</v>
      </c>
      <c r="F461" s="1" t="s">
        <v>49</v>
      </c>
      <c r="G461" s="1" t="s">
        <v>49</v>
      </c>
      <c r="H461" s="1" t="n">
        <v>29</v>
      </c>
      <c r="I461" s="1" t="n">
        <v>2611.16</v>
      </c>
      <c r="J461" s="1" t="n">
        <v>300</v>
      </c>
    </row>
    <row r="462" customFormat="false" ht="15" hidden="false" customHeight="true" outlineLevel="0" collapsed="false">
      <c r="A462" s="1" t="s">
        <v>173</v>
      </c>
      <c r="B462" s="1" t="s">
        <v>55</v>
      </c>
      <c r="C462" s="1" t="s">
        <v>148</v>
      </c>
      <c r="D462" s="1" t="n">
        <v>4</v>
      </c>
      <c r="E462" s="1" t="n">
        <v>17</v>
      </c>
      <c r="F462" s="1" t="s">
        <v>43</v>
      </c>
      <c r="G462" s="1" t="s">
        <v>44</v>
      </c>
      <c r="H462" s="1" t="n">
        <v>20</v>
      </c>
      <c r="I462" s="1" t="n">
        <v>2214.6</v>
      </c>
      <c r="J462" s="1" t="n">
        <v>300</v>
      </c>
    </row>
    <row r="463" customFormat="false" ht="15" hidden="false" customHeight="true" outlineLevel="0" collapsed="false">
      <c r="A463" s="1" t="s">
        <v>173</v>
      </c>
      <c r="B463" s="1" t="s">
        <v>55</v>
      </c>
      <c r="C463" s="1" t="s">
        <v>148</v>
      </c>
      <c r="D463" s="1" t="n">
        <v>4</v>
      </c>
      <c r="E463" s="1" t="n">
        <v>17</v>
      </c>
      <c r="F463" s="1" t="s">
        <v>45</v>
      </c>
      <c r="G463" s="1" t="s">
        <v>46</v>
      </c>
      <c r="H463" s="1" t="n">
        <v>56</v>
      </c>
      <c r="I463" s="1" t="n">
        <v>5579.28</v>
      </c>
      <c r="J463" s="1" t="n">
        <v>300</v>
      </c>
    </row>
    <row r="464" customFormat="false" ht="15" hidden="false" customHeight="true" outlineLevel="0" collapsed="false">
      <c r="A464" s="1" t="s">
        <v>173</v>
      </c>
      <c r="B464" s="1" t="s">
        <v>55</v>
      </c>
      <c r="C464" s="1" t="s">
        <v>148</v>
      </c>
      <c r="D464" s="1" t="n">
        <v>4</v>
      </c>
      <c r="E464" s="1" t="n">
        <v>17</v>
      </c>
      <c r="F464" s="1" t="s">
        <v>47</v>
      </c>
      <c r="G464" s="1" t="s">
        <v>48</v>
      </c>
      <c r="H464" s="1" t="n">
        <v>17</v>
      </c>
      <c r="I464" s="1" t="n">
        <v>1482.91</v>
      </c>
      <c r="J464" s="1" t="n">
        <v>300</v>
      </c>
    </row>
    <row r="465" customFormat="false" ht="15" hidden="false" customHeight="true" outlineLevel="0" collapsed="false">
      <c r="A465" s="1" t="s">
        <v>173</v>
      </c>
      <c r="B465" s="1" t="s">
        <v>55</v>
      </c>
      <c r="C465" s="1" t="s">
        <v>148</v>
      </c>
      <c r="D465" s="1" t="n">
        <v>4</v>
      </c>
      <c r="E465" s="1" t="n">
        <v>17</v>
      </c>
      <c r="F465" s="1" t="s">
        <v>49</v>
      </c>
      <c r="G465" s="1" t="s">
        <v>49</v>
      </c>
      <c r="H465" s="1" t="n">
        <v>36</v>
      </c>
      <c r="I465" s="1" t="n">
        <v>3276.36</v>
      </c>
      <c r="J465" s="1" t="n">
        <v>300</v>
      </c>
    </row>
    <row r="466" customFormat="false" ht="15" hidden="false" customHeight="true" outlineLevel="0" collapsed="false">
      <c r="A466" s="1" t="s">
        <v>174</v>
      </c>
      <c r="B466" s="1" t="s">
        <v>57</v>
      </c>
      <c r="C466" s="1" t="s">
        <v>148</v>
      </c>
      <c r="D466" s="1" t="n">
        <v>4</v>
      </c>
      <c r="E466" s="1" t="n">
        <v>17</v>
      </c>
      <c r="F466" s="1" t="s">
        <v>43</v>
      </c>
      <c r="G466" s="1" t="s">
        <v>44</v>
      </c>
      <c r="H466" s="1" t="n">
        <v>21</v>
      </c>
      <c r="I466" s="1" t="n">
        <v>2468.13</v>
      </c>
      <c r="J466" s="1" t="n">
        <v>300</v>
      </c>
    </row>
    <row r="467" customFormat="false" ht="15" hidden="false" customHeight="true" outlineLevel="0" collapsed="false">
      <c r="A467" s="1" t="s">
        <v>174</v>
      </c>
      <c r="B467" s="1" t="s">
        <v>57</v>
      </c>
      <c r="C467" s="1" t="s">
        <v>148</v>
      </c>
      <c r="D467" s="1" t="n">
        <v>4</v>
      </c>
      <c r="E467" s="1" t="n">
        <v>17</v>
      </c>
      <c r="F467" s="1" t="s">
        <v>45</v>
      </c>
      <c r="G467" s="1" t="s">
        <v>46</v>
      </c>
      <c r="H467" s="1" t="n">
        <v>52</v>
      </c>
      <c r="I467" s="1" t="n">
        <v>6018.48</v>
      </c>
      <c r="J467" s="1" t="n">
        <v>300</v>
      </c>
    </row>
    <row r="468" customFormat="false" ht="15" hidden="false" customHeight="true" outlineLevel="0" collapsed="false">
      <c r="A468" s="1" t="s">
        <v>174</v>
      </c>
      <c r="B468" s="1" t="s">
        <v>57</v>
      </c>
      <c r="C468" s="1" t="s">
        <v>148</v>
      </c>
      <c r="D468" s="1" t="n">
        <v>4</v>
      </c>
      <c r="E468" s="1" t="n">
        <v>17</v>
      </c>
      <c r="F468" s="1" t="s">
        <v>47</v>
      </c>
      <c r="G468" s="1" t="s">
        <v>48</v>
      </c>
      <c r="H468" s="1" t="n">
        <v>13</v>
      </c>
      <c r="I468" s="1" t="n">
        <v>1083.29</v>
      </c>
      <c r="J468" s="1" t="n">
        <v>300</v>
      </c>
    </row>
    <row r="469" customFormat="false" ht="15" hidden="false" customHeight="true" outlineLevel="0" collapsed="false">
      <c r="A469" s="1" t="s">
        <v>174</v>
      </c>
      <c r="B469" s="1" t="s">
        <v>57</v>
      </c>
      <c r="C469" s="1" t="s">
        <v>148</v>
      </c>
      <c r="D469" s="1" t="n">
        <v>4</v>
      </c>
      <c r="E469" s="1" t="n">
        <v>17</v>
      </c>
      <c r="F469" s="1" t="s">
        <v>49</v>
      </c>
      <c r="G469" s="1" t="s">
        <v>49</v>
      </c>
      <c r="H469" s="1" t="n">
        <v>40</v>
      </c>
      <c r="I469" s="1" t="n">
        <v>3452.8</v>
      </c>
      <c r="J469" s="1" t="n">
        <v>300</v>
      </c>
    </row>
    <row r="470" customFormat="false" ht="15" hidden="false" customHeight="true" outlineLevel="0" collapsed="false">
      <c r="A470" s="1" t="s">
        <v>175</v>
      </c>
      <c r="B470" s="1" t="s">
        <v>59</v>
      </c>
      <c r="C470" s="1" t="s">
        <v>148</v>
      </c>
      <c r="D470" s="1" t="n">
        <v>4</v>
      </c>
      <c r="E470" s="1" t="n">
        <v>18</v>
      </c>
      <c r="F470" s="1" t="s">
        <v>43</v>
      </c>
      <c r="G470" s="1" t="s">
        <v>44</v>
      </c>
      <c r="H470" s="1" t="n">
        <v>86</v>
      </c>
      <c r="I470" s="1" t="n">
        <v>10579.72</v>
      </c>
      <c r="J470" s="1" t="n">
        <v>300</v>
      </c>
    </row>
    <row r="471" customFormat="false" ht="15" hidden="false" customHeight="true" outlineLevel="0" collapsed="false">
      <c r="A471" s="1" t="s">
        <v>175</v>
      </c>
      <c r="B471" s="1" t="s">
        <v>59</v>
      </c>
      <c r="C471" s="1" t="s">
        <v>148</v>
      </c>
      <c r="D471" s="1" t="n">
        <v>4</v>
      </c>
      <c r="E471" s="1" t="n">
        <v>18</v>
      </c>
      <c r="F471" s="1" t="s">
        <v>45</v>
      </c>
      <c r="G471" s="1" t="s">
        <v>46</v>
      </c>
      <c r="H471" s="1" t="n">
        <v>20</v>
      </c>
      <c r="I471" s="1" t="n">
        <v>2009.6</v>
      </c>
      <c r="J471" s="1" t="n">
        <v>300</v>
      </c>
    </row>
    <row r="472" customFormat="false" ht="15" hidden="false" customHeight="true" outlineLevel="0" collapsed="false">
      <c r="A472" s="1" t="s">
        <v>175</v>
      </c>
      <c r="B472" s="1" t="s">
        <v>59</v>
      </c>
      <c r="C472" s="1" t="s">
        <v>148</v>
      </c>
      <c r="D472" s="1" t="n">
        <v>4</v>
      </c>
      <c r="E472" s="1" t="n">
        <v>18</v>
      </c>
      <c r="F472" s="1" t="s">
        <v>47</v>
      </c>
      <c r="G472" s="1" t="s">
        <v>48</v>
      </c>
      <c r="H472" s="1" t="n">
        <v>25</v>
      </c>
      <c r="I472" s="1" t="n">
        <v>2525.75</v>
      </c>
      <c r="J472" s="1" t="n">
        <v>300</v>
      </c>
    </row>
    <row r="473" customFormat="false" ht="15" hidden="false" customHeight="true" outlineLevel="0" collapsed="false">
      <c r="A473" s="1" t="s">
        <v>175</v>
      </c>
      <c r="B473" s="1" t="s">
        <v>59</v>
      </c>
      <c r="C473" s="1" t="s">
        <v>148</v>
      </c>
      <c r="D473" s="1" t="n">
        <v>4</v>
      </c>
      <c r="E473" s="1" t="n">
        <v>18</v>
      </c>
      <c r="F473" s="1" t="s">
        <v>49</v>
      </c>
      <c r="G473" s="1" t="s">
        <v>49</v>
      </c>
      <c r="H473" s="1" t="n">
        <v>32</v>
      </c>
      <c r="I473" s="1" t="n">
        <v>2831.04</v>
      </c>
      <c r="J473" s="1" t="n">
        <v>300</v>
      </c>
    </row>
    <row r="474" customFormat="false" ht="15" hidden="false" customHeight="true" outlineLevel="0" collapsed="false">
      <c r="A474" s="1" t="s">
        <v>176</v>
      </c>
      <c r="B474" s="1" t="s">
        <v>61</v>
      </c>
      <c r="C474" s="1" t="s">
        <v>148</v>
      </c>
      <c r="D474" s="1" t="n">
        <v>4</v>
      </c>
      <c r="E474" s="1" t="n">
        <v>18</v>
      </c>
      <c r="F474" s="1" t="s">
        <v>43</v>
      </c>
      <c r="G474" s="1" t="s">
        <v>44</v>
      </c>
      <c r="H474" s="1" t="n">
        <v>111</v>
      </c>
      <c r="I474" s="1" t="n">
        <v>12256.62</v>
      </c>
      <c r="J474" s="1" t="n">
        <v>300</v>
      </c>
    </row>
    <row r="475" customFormat="false" ht="15" hidden="false" customHeight="true" outlineLevel="0" collapsed="false">
      <c r="A475" s="1" t="s">
        <v>176</v>
      </c>
      <c r="B475" s="1" t="s">
        <v>61</v>
      </c>
      <c r="C475" s="1" t="s">
        <v>148</v>
      </c>
      <c r="D475" s="1" t="n">
        <v>4</v>
      </c>
      <c r="E475" s="1" t="n">
        <v>18</v>
      </c>
      <c r="F475" s="1" t="s">
        <v>45</v>
      </c>
      <c r="G475" s="1" t="s">
        <v>46</v>
      </c>
      <c r="H475" s="1" t="n">
        <v>17</v>
      </c>
      <c r="I475" s="1" t="n">
        <v>1694.56</v>
      </c>
      <c r="J475" s="1" t="n">
        <v>300</v>
      </c>
    </row>
    <row r="476" customFormat="false" ht="15" hidden="false" customHeight="true" outlineLevel="0" collapsed="false">
      <c r="A476" s="1" t="s">
        <v>176</v>
      </c>
      <c r="B476" s="1" t="s">
        <v>61</v>
      </c>
      <c r="C476" s="1" t="s">
        <v>148</v>
      </c>
      <c r="D476" s="1" t="n">
        <v>4</v>
      </c>
      <c r="E476" s="1" t="n">
        <v>18</v>
      </c>
      <c r="F476" s="1" t="s">
        <v>47</v>
      </c>
      <c r="G476" s="1" t="s">
        <v>48</v>
      </c>
      <c r="H476" s="1" t="n">
        <v>28</v>
      </c>
      <c r="I476" s="1" t="n">
        <v>2727.2</v>
      </c>
      <c r="J476" s="1" t="n">
        <v>300</v>
      </c>
    </row>
    <row r="477" customFormat="false" ht="15" hidden="false" customHeight="true" outlineLevel="0" collapsed="false">
      <c r="A477" s="1" t="s">
        <v>176</v>
      </c>
      <c r="B477" s="1" t="s">
        <v>61</v>
      </c>
      <c r="C477" s="1" t="s">
        <v>148</v>
      </c>
      <c r="D477" s="1" t="n">
        <v>4</v>
      </c>
      <c r="E477" s="1" t="n">
        <v>18</v>
      </c>
      <c r="F477" s="1" t="s">
        <v>49</v>
      </c>
      <c r="G477" s="1" t="s">
        <v>49</v>
      </c>
      <c r="H477" s="1" t="n">
        <v>29</v>
      </c>
      <c r="I477" s="1" t="n">
        <v>2635.52</v>
      </c>
      <c r="J477" s="1" t="n">
        <v>300</v>
      </c>
    </row>
    <row r="478" customFormat="false" ht="15" hidden="false" customHeight="true" outlineLevel="0" collapsed="false">
      <c r="A478" s="1" t="s">
        <v>177</v>
      </c>
      <c r="B478" s="1" t="s">
        <v>41</v>
      </c>
      <c r="C478" s="1" t="s">
        <v>148</v>
      </c>
      <c r="D478" s="1" t="n">
        <v>4</v>
      </c>
      <c r="E478" s="1" t="n">
        <v>18</v>
      </c>
      <c r="F478" s="1" t="s">
        <v>43</v>
      </c>
      <c r="G478" s="1" t="s">
        <v>44</v>
      </c>
      <c r="H478" s="1" t="n">
        <v>84</v>
      </c>
      <c r="I478" s="1" t="n">
        <v>10770.48</v>
      </c>
      <c r="J478" s="1" t="n">
        <v>300</v>
      </c>
    </row>
    <row r="479" customFormat="false" ht="15" hidden="false" customHeight="true" outlineLevel="0" collapsed="false">
      <c r="A479" s="1" t="s">
        <v>177</v>
      </c>
      <c r="B479" s="1" t="s">
        <v>41</v>
      </c>
      <c r="C479" s="1" t="s">
        <v>148</v>
      </c>
      <c r="D479" s="1" t="n">
        <v>4</v>
      </c>
      <c r="E479" s="1" t="n">
        <v>18</v>
      </c>
      <c r="F479" s="1" t="s">
        <v>45</v>
      </c>
      <c r="G479" s="1" t="s">
        <v>46</v>
      </c>
      <c r="H479" s="1" t="n">
        <v>20</v>
      </c>
      <c r="I479" s="1" t="n">
        <v>2219.4</v>
      </c>
      <c r="J479" s="1" t="n">
        <v>300</v>
      </c>
    </row>
    <row r="480" customFormat="false" ht="15" hidden="false" customHeight="true" outlineLevel="0" collapsed="false">
      <c r="A480" s="1" t="s">
        <v>177</v>
      </c>
      <c r="B480" s="1" t="s">
        <v>41</v>
      </c>
      <c r="C480" s="1" t="s">
        <v>148</v>
      </c>
      <c r="D480" s="1" t="n">
        <v>4</v>
      </c>
      <c r="E480" s="1" t="n">
        <v>18</v>
      </c>
      <c r="F480" s="1" t="s">
        <v>47</v>
      </c>
      <c r="G480" s="1" t="s">
        <v>48</v>
      </c>
      <c r="H480" s="1" t="n">
        <v>29</v>
      </c>
      <c r="I480" s="1" t="n">
        <v>2860.27</v>
      </c>
      <c r="J480" s="1" t="n">
        <v>300</v>
      </c>
    </row>
    <row r="481" customFormat="false" ht="15" hidden="false" customHeight="true" outlineLevel="0" collapsed="false">
      <c r="A481" s="1" t="s">
        <v>177</v>
      </c>
      <c r="B481" s="1" t="s">
        <v>41</v>
      </c>
      <c r="C481" s="1" t="s">
        <v>148</v>
      </c>
      <c r="D481" s="1" t="n">
        <v>4</v>
      </c>
      <c r="E481" s="1" t="n">
        <v>18</v>
      </c>
      <c r="F481" s="1" t="s">
        <v>49</v>
      </c>
      <c r="G481" s="1" t="s">
        <v>49</v>
      </c>
      <c r="H481" s="1" t="n">
        <v>32</v>
      </c>
      <c r="I481" s="1" t="n">
        <v>2924.48</v>
      </c>
      <c r="J481" s="1" t="n">
        <v>300</v>
      </c>
    </row>
    <row r="482" customFormat="false" ht="15" hidden="false" customHeight="true" outlineLevel="0" collapsed="false">
      <c r="A482" s="1" t="s">
        <v>178</v>
      </c>
      <c r="B482" s="1" t="s">
        <v>51</v>
      </c>
      <c r="C482" s="1" t="s">
        <v>179</v>
      </c>
      <c r="D482" s="1" t="n">
        <v>5</v>
      </c>
      <c r="E482" s="1" t="n">
        <v>18</v>
      </c>
      <c r="F482" s="1" t="s">
        <v>43</v>
      </c>
      <c r="G482" s="1" t="s">
        <v>44</v>
      </c>
      <c r="H482" s="1" t="n">
        <v>106</v>
      </c>
      <c r="I482" s="1" t="n">
        <v>13704.74</v>
      </c>
      <c r="J482" s="1" t="n">
        <v>300</v>
      </c>
    </row>
    <row r="483" customFormat="false" ht="15" hidden="false" customHeight="true" outlineLevel="0" collapsed="false">
      <c r="A483" s="1" t="s">
        <v>178</v>
      </c>
      <c r="B483" s="1" t="s">
        <v>51</v>
      </c>
      <c r="C483" s="1" t="s">
        <v>179</v>
      </c>
      <c r="D483" s="1" t="n">
        <v>5</v>
      </c>
      <c r="E483" s="1" t="n">
        <v>18</v>
      </c>
      <c r="F483" s="1" t="s">
        <v>45</v>
      </c>
      <c r="G483" s="1" t="s">
        <v>46</v>
      </c>
      <c r="H483" s="1" t="n">
        <v>21</v>
      </c>
      <c r="I483" s="1" t="n">
        <v>2310.42</v>
      </c>
      <c r="J483" s="1" t="n">
        <v>300</v>
      </c>
    </row>
    <row r="484" customFormat="false" ht="15" hidden="false" customHeight="true" outlineLevel="0" collapsed="false">
      <c r="A484" s="1" t="s">
        <v>178</v>
      </c>
      <c r="B484" s="1" t="s">
        <v>51</v>
      </c>
      <c r="C484" s="1" t="s">
        <v>179</v>
      </c>
      <c r="D484" s="1" t="n">
        <v>5</v>
      </c>
      <c r="E484" s="1" t="n">
        <v>18</v>
      </c>
      <c r="F484" s="1" t="s">
        <v>47</v>
      </c>
      <c r="G484" s="1" t="s">
        <v>48</v>
      </c>
      <c r="H484" s="1" t="n">
        <v>29</v>
      </c>
      <c r="I484" s="1" t="n">
        <v>3069.07</v>
      </c>
      <c r="J484" s="1" t="n">
        <v>300</v>
      </c>
    </row>
    <row r="485" customFormat="false" ht="15" hidden="false" customHeight="true" outlineLevel="0" collapsed="false">
      <c r="A485" s="1" t="s">
        <v>178</v>
      </c>
      <c r="B485" s="1" t="s">
        <v>51</v>
      </c>
      <c r="C485" s="1" t="s">
        <v>179</v>
      </c>
      <c r="D485" s="1" t="n">
        <v>5</v>
      </c>
      <c r="E485" s="1" t="n">
        <v>18</v>
      </c>
      <c r="F485" s="1" t="s">
        <v>49</v>
      </c>
      <c r="G485" s="1" t="s">
        <v>49</v>
      </c>
      <c r="H485" s="1" t="n">
        <v>30</v>
      </c>
      <c r="I485" s="1" t="n">
        <v>3002.1</v>
      </c>
      <c r="J485" s="1" t="n">
        <v>300</v>
      </c>
    </row>
    <row r="486" customFormat="false" ht="15" hidden="false" customHeight="true" outlineLevel="0" collapsed="false">
      <c r="A486" s="1" t="s">
        <v>180</v>
      </c>
      <c r="B486" s="1" t="s">
        <v>53</v>
      </c>
      <c r="C486" s="1" t="s">
        <v>179</v>
      </c>
      <c r="D486" s="1" t="n">
        <v>5</v>
      </c>
      <c r="E486" s="1" t="n">
        <v>18</v>
      </c>
      <c r="F486" s="1" t="s">
        <v>43</v>
      </c>
      <c r="G486" s="1" t="s">
        <v>44</v>
      </c>
      <c r="H486" s="1" t="n">
        <v>99</v>
      </c>
      <c r="I486" s="1" t="n">
        <v>10836.54</v>
      </c>
      <c r="J486" s="1" t="n">
        <v>300</v>
      </c>
    </row>
    <row r="487" customFormat="false" ht="15" hidden="false" customHeight="true" outlineLevel="0" collapsed="false">
      <c r="A487" s="1" t="s">
        <v>180</v>
      </c>
      <c r="B487" s="1" t="s">
        <v>53</v>
      </c>
      <c r="C487" s="1" t="s">
        <v>179</v>
      </c>
      <c r="D487" s="1" t="n">
        <v>5</v>
      </c>
      <c r="E487" s="1" t="n">
        <v>18</v>
      </c>
      <c r="F487" s="1" t="s">
        <v>45</v>
      </c>
      <c r="G487" s="1" t="s">
        <v>46</v>
      </c>
      <c r="H487" s="1" t="n">
        <v>21</v>
      </c>
      <c r="I487" s="1" t="n">
        <v>2125.62</v>
      </c>
      <c r="J487" s="1" t="n">
        <v>300</v>
      </c>
    </row>
    <row r="488" customFormat="false" ht="15" hidden="false" customHeight="true" outlineLevel="0" collapsed="false">
      <c r="A488" s="1" t="s">
        <v>180</v>
      </c>
      <c r="B488" s="1" t="s">
        <v>53</v>
      </c>
      <c r="C488" s="1" t="s">
        <v>179</v>
      </c>
      <c r="D488" s="1" t="n">
        <v>5</v>
      </c>
      <c r="E488" s="1" t="n">
        <v>18</v>
      </c>
      <c r="F488" s="1" t="s">
        <v>47</v>
      </c>
      <c r="G488" s="1" t="s">
        <v>48</v>
      </c>
      <c r="H488" s="1" t="n">
        <v>32</v>
      </c>
      <c r="I488" s="1" t="n">
        <v>2995.2</v>
      </c>
      <c r="J488" s="1" t="n">
        <v>300</v>
      </c>
    </row>
    <row r="489" customFormat="false" ht="15" hidden="false" customHeight="true" outlineLevel="0" collapsed="false">
      <c r="A489" s="1" t="s">
        <v>180</v>
      </c>
      <c r="B489" s="1" t="s">
        <v>53</v>
      </c>
      <c r="C489" s="1" t="s">
        <v>179</v>
      </c>
      <c r="D489" s="1" t="n">
        <v>5</v>
      </c>
      <c r="E489" s="1" t="n">
        <v>18</v>
      </c>
      <c r="F489" s="1" t="s">
        <v>49</v>
      </c>
      <c r="G489" s="1" t="s">
        <v>49</v>
      </c>
      <c r="H489" s="1" t="n">
        <v>30</v>
      </c>
      <c r="I489" s="1" t="n">
        <v>2402.1</v>
      </c>
      <c r="J489" s="1" t="n">
        <v>300</v>
      </c>
    </row>
    <row r="490" customFormat="false" ht="15" hidden="false" customHeight="true" outlineLevel="0" collapsed="false">
      <c r="A490" s="1" t="s">
        <v>181</v>
      </c>
      <c r="B490" s="1" t="s">
        <v>55</v>
      </c>
      <c r="C490" s="1" t="s">
        <v>179</v>
      </c>
      <c r="D490" s="1" t="n">
        <v>5</v>
      </c>
      <c r="E490" s="1" t="n">
        <v>18</v>
      </c>
      <c r="F490" s="1" t="s">
        <v>43</v>
      </c>
      <c r="G490" s="1" t="s">
        <v>44</v>
      </c>
      <c r="H490" s="1" t="n">
        <v>18</v>
      </c>
      <c r="I490" s="1" t="n">
        <v>1841.94</v>
      </c>
      <c r="J490" s="1" t="n">
        <v>300</v>
      </c>
    </row>
    <row r="491" customFormat="false" ht="15" hidden="false" customHeight="true" outlineLevel="0" collapsed="false">
      <c r="A491" s="1" t="s">
        <v>181</v>
      </c>
      <c r="B491" s="1" t="s">
        <v>55</v>
      </c>
      <c r="C491" s="1" t="s">
        <v>179</v>
      </c>
      <c r="D491" s="1" t="n">
        <v>5</v>
      </c>
      <c r="E491" s="1" t="n">
        <v>18</v>
      </c>
      <c r="F491" s="1" t="s">
        <v>45</v>
      </c>
      <c r="G491" s="1" t="s">
        <v>46</v>
      </c>
      <c r="H491" s="1" t="n">
        <v>50</v>
      </c>
      <c r="I491" s="1" t="n">
        <v>5517.5</v>
      </c>
      <c r="J491" s="1" t="n">
        <v>300</v>
      </c>
    </row>
    <row r="492" customFormat="false" ht="15" hidden="false" customHeight="true" outlineLevel="0" collapsed="false">
      <c r="A492" s="1" t="s">
        <v>181</v>
      </c>
      <c r="B492" s="1" t="s">
        <v>55</v>
      </c>
      <c r="C492" s="1" t="s">
        <v>179</v>
      </c>
      <c r="D492" s="1" t="n">
        <v>5</v>
      </c>
      <c r="E492" s="1" t="n">
        <v>18</v>
      </c>
      <c r="F492" s="1" t="s">
        <v>47</v>
      </c>
      <c r="G492" s="1" t="s">
        <v>48</v>
      </c>
      <c r="H492" s="1" t="n">
        <v>17</v>
      </c>
      <c r="I492" s="1" t="n">
        <v>1698.3</v>
      </c>
      <c r="J492" s="1" t="n">
        <v>300</v>
      </c>
    </row>
    <row r="493" customFormat="false" ht="15" hidden="false" customHeight="true" outlineLevel="0" collapsed="false">
      <c r="A493" s="1" t="s">
        <v>181</v>
      </c>
      <c r="B493" s="1" t="s">
        <v>55</v>
      </c>
      <c r="C493" s="1" t="s">
        <v>179</v>
      </c>
      <c r="D493" s="1" t="n">
        <v>5</v>
      </c>
      <c r="E493" s="1" t="n">
        <v>18</v>
      </c>
      <c r="F493" s="1" t="s">
        <v>49</v>
      </c>
      <c r="G493" s="1" t="s">
        <v>49</v>
      </c>
      <c r="H493" s="1" t="n">
        <v>36</v>
      </c>
      <c r="I493" s="1" t="n">
        <v>3241.8</v>
      </c>
      <c r="J493" s="1" t="n">
        <v>300</v>
      </c>
    </row>
    <row r="494" customFormat="false" ht="15" hidden="false" customHeight="true" outlineLevel="0" collapsed="false">
      <c r="A494" s="1" t="s">
        <v>182</v>
      </c>
      <c r="B494" s="1" t="s">
        <v>57</v>
      </c>
      <c r="C494" s="1" t="s">
        <v>179</v>
      </c>
      <c r="D494" s="1" t="n">
        <v>5</v>
      </c>
      <c r="E494" s="1" t="n">
        <v>18</v>
      </c>
      <c r="F494" s="1" t="s">
        <v>43</v>
      </c>
      <c r="G494" s="1" t="s">
        <v>44</v>
      </c>
      <c r="H494" s="1" t="n">
        <v>19</v>
      </c>
      <c r="I494" s="1" t="n">
        <v>2116.98</v>
      </c>
      <c r="J494" s="1" t="n">
        <v>300</v>
      </c>
    </row>
    <row r="495" customFormat="false" ht="15" hidden="false" customHeight="true" outlineLevel="0" collapsed="false">
      <c r="A495" s="1" t="s">
        <v>182</v>
      </c>
      <c r="B495" s="1" t="s">
        <v>57</v>
      </c>
      <c r="C495" s="1" t="s">
        <v>179</v>
      </c>
      <c r="D495" s="1" t="n">
        <v>5</v>
      </c>
      <c r="E495" s="1" t="n">
        <v>18</v>
      </c>
      <c r="F495" s="1" t="s">
        <v>45</v>
      </c>
      <c r="G495" s="1" t="s">
        <v>46</v>
      </c>
      <c r="H495" s="1" t="n">
        <v>66</v>
      </c>
      <c r="I495" s="1" t="n">
        <v>7331.94</v>
      </c>
      <c r="J495" s="1" t="n">
        <v>300</v>
      </c>
    </row>
    <row r="496" customFormat="false" ht="15" hidden="false" customHeight="true" outlineLevel="0" collapsed="false">
      <c r="A496" s="1" t="s">
        <v>182</v>
      </c>
      <c r="B496" s="1" t="s">
        <v>57</v>
      </c>
      <c r="C496" s="1" t="s">
        <v>179</v>
      </c>
      <c r="D496" s="1" t="n">
        <v>5</v>
      </c>
      <c r="E496" s="1" t="n">
        <v>18</v>
      </c>
      <c r="F496" s="1" t="s">
        <v>47</v>
      </c>
      <c r="G496" s="1" t="s">
        <v>48</v>
      </c>
      <c r="H496" s="1" t="n">
        <v>15</v>
      </c>
      <c r="I496" s="1" t="n">
        <v>1463.55</v>
      </c>
      <c r="J496" s="1" t="n">
        <v>300</v>
      </c>
    </row>
    <row r="497" customFormat="false" ht="15" hidden="false" customHeight="true" outlineLevel="0" collapsed="false">
      <c r="A497" s="1" t="s">
        <v>182</v>
      </c>
      <c r="B497" s="1" t="s">
        <v>57</v>
      </c>
      <c r="C497" s="1" t="s">
        <v>179</v>
      </c>
      <c r="D497" s="1" t="n">
        <v>5</v>
      </c>
      <c r="E497" s="1" t="n">
        <v>18</v>
      </c>
      <c r="F497" s="1" t="s">
        <v>49</v>
      </c>
      <c r="G497" s="1" t="s">
        <v>49</v>
      </c>
      <c r="H497" s="1" t="n">
        <v>41</v>
      </c>
      <c r="I497" s="1" t="n">
        <v>3249.25</v>
      </c>
      <c r="J497" s="1" t="n">
        <v>300</v>
      </c>
    </row>
    <row r="498" customFormat="false" ht="15" hidden="false" customHeight="true" outlineLevel="0" collapsed="false">
      <c r="A498" s="1" t="s">
        <v>183</v>
      </c>
      <c r="B498" s="1" t="s">
        <v>59</v>
      </c>
      <c r="C498" s="1" t="s">
        <v>179</v>
      </c>
      <c r="D498" s="1" t="n">
        <v>5</v>
      </c>
      <c r="E498" s="1" t="n">
        <v>19</v>
      </c>
      <c r="F498" s="1" t="s">
        <v>43</v>
      </c>
      <c r="G498" s="1" t="s">
        <v>44</v>
      </c>
      <c r="H498" s="1" t="n">
        <v>98</v>
      </c>
      <c r="I498" s="1" t="n">
        <v>11254.32</v>
      </c>
      <c r="J498" s="1" t="n">
        <v>300</v>
      </c>
    </row>
    <row r="499" customFormat="false" ht="15" hidden="false" customHeight="true" outlineLevel="0" collapsed="false">
      <c r="A499" s="1" t="s">
        <v>183</v>
      </c>
      <c r="B499" s="1" t="s">
        <v>59</v>
      </c>
      <c r="C499" s="1" t="s">
        <v>179</v>
      </c>
      <c r="D499" s="1" t="n">
        <v>5</v>
      </c>
      <c r="E499" s="1" t="n">
        <v>19</v>
      </c>
      <c r="F499" s="1" t="s">
        <v>45</v>
      </c>
      <c r="G499" s="1" t="s">
        <v>46</v>
      </c>
      <c r="H499" s="1" t="n">
        <v>19</v>
      </c>
      <c r="I499" s="1" t="n">
        <v>1971.25</v>
      </c>
      <c r="J499" s="1" t="n">
        <v>300</v>
      </c>
    </row>
    <row r="500" customFormat="false" ht="15" hidden="false" customHeight="true" outlineLevel="0" collapsed="false">
      <c r="A500" s="1" t="s">
        <v>183</v>
      </c>
      <c r="B500" s="1" t="s">
        <v>59</v>
      </c>
      <c r="C500" s="1" t="s">
        <v>179</v>
      </c>
      <c r="D500" s="1" t="n">
        <v>5</v>
      </c>
      <c r="E500" s="1" t="n">
        <v>19</v>
      </c>
      <c r="F500" s="1" t="s">
        <v>47</v>
      </c>
      <c r="G500" s="1" t="s">
        <v>48</v>
      </c>
      <c r="H500" s="1" t="n">
        <v>34</v>
      </c>
      <c r="I500" s="1" t="n">
        <v>3439.44</v>
      </c>
      <c r="J500" s="1" t="n">
        <v>300</v>
      </c>
    </row>
    <row r="501" customFormat="false" ht="15" hidden="false" customHeight="true" outlineLevel="0" collapsed="false">
      <c r="A501" s="1" t="s">
        <v>183</v>
      </c>
      <c r="B501" s="1" t="s">
        <v>59</v>
      </c>
      <c r="C501" s="1" t="s">
        <v>179</v>
      </c>
      <c r="D501" s="1" t="n">
        <v>5</v>
      </c>
      <c r="E501" s="1" t="n">
        <v>19</v>
      </c>
      <c r="F501" s="1" t="s">
        <v>49</v>
      </c>
      <c r="G501" s="1" t="s">
        <v>49</v>
      </c>
      <c r="H501" s="1" t="n">
        <v>30</v>
      </c>
      <c r="I501" s="1" t="n">
        <v>2802.3</v>
      </c>
      <c r="J501" s="1" t="n">
        <v>300</v>
      </c>
    </row>
    <row r="502" customFormat="false" ht="15" hidden="false" customHeight="true" outlineLevel="0" collapsed="false">
      <c r="A502" s="1" t="s">
        <v>184</v>
      </c>
      <c r="B502" s="1" t="s">
        <v>61</v>
      </c>
      <c r="C502" s="1" t="s">
        <v>179</v>
      </c>
      <c r="D502" s="1" t="n">
        <v>5</v>
      </c>
      <c r="E502" s="1" t="n">
        <v>19</v>
      </c>
      <c r="F502" s="1" t="s">
        <v>43</v>
      </c>
      <c r="G502" s="1" t="s">
        <v>44</v>
      </c>
      <c r="H502" s="1" t="n">
        <v>112</v>
      </c>
      <c r="I502" s="1" t="n">
        <v>14154.56</v>
      </c>
      <c r="J502" s="1" t="n">
        <v>300</v>
      </c>
    </row>
    <row r="503" customFormat="false" ht="15" hidden="false" customHeight="true" outlineLevel="0" collapsed="false">
      <c r="A503" s="1" t="s">
        <v>184</v>
      </c>
      <c r="B503" s="1" t="s">
        <v>61</v>
      </c>
      <c r="C503" s="1" t="s">
        <v>179</v>
      </c>
      <c r="D503" s="1" t="n">
        <v>5</v>
      </c>
      <c r="E503" s="1" t="n">
        <v>19</v>
      </c>
      <c r="F503" s="1" t="s">
        <v>45</v>
      </c>
      <c r="G503" s="1" t="s">
        <v>46</v>
      </c>
      <c r="H503" s="1" t="n">
        <v>21</v>
      </c>
      <c r="I503" s="1" t="n">
        <v>2130.24</v>
      </c>
      <c r="J503" s="1" t="n">
        <v>300</v>
      </c>
    </row>
    <row r="504" customFormat="false" ht="15" hidden="false" customHeight="true" outlineLevel="0" collapsed="false">
      <c r="A504" s="1" t="s">
        <v>184</v>
      </c>
      <c r="B504" s="1" t="s">
        <v>61</v>
      </c>
      <c r="C504" s="1" t="s">
        <v>179</v>
      </c>
      <c r="D504" s="1" t="n">
        <v>5</v>
      </c>
      <c r="E504" s="1" t="n">
        <v>19</v>
      </c>
      <c r="F504" s="1" t="s">
        <v>47</v>
      </c>
      <c r="G504" s="1" t="s">
        <v>48</v>
      </c>
      <c r="H504" s="1" t="n">
        <v>31</v>
      </c>
      <c r="I504" s="1" t="n">
        <v>3091.32</v>
      </c>
      <c r="J504" s="1" t="n">
        <v>300</v>
      </c>
    </row>
    <row r="505" customFormat="false" ht="15" hidden="false" customHeight="true" outlineLevel="0" collapsed="false">
      <c r="A505" s="1" t="s">
        <v>184</v>
      </c>
      <c r="B505" s="1" t="s">
        <v>61</v>
      </c>
      <c r="C505" s="1" t="s">
        <v>179</v>
      </c>
      <c r="D505" s="1" t="n">
        <v>5</v>
      </c>
      <c r="E505" s="1" t="n">
        <v>19</v>
      </c>
      <c r="F505" s="1" t="s">
        <v>49</v>
      </c>
      <c r="G505" s="1" t="s">
        <v>49</v>
      </c>
      <c r="H505" s="1" t="n">
        <v>34</v>
      </c>
      <c r="I505" s="1" t="n">
        <v>3187.5</v>
      </c>
      <c r="J505" s="1" t="n">
        <v>300</v>
      </c>
    </row>
    <row r="506" customFormat="false" ht="15" hidden="false" customHeight="true" outlineLevel="0" collapsed="false">
      <c r="A506" s="1" t="s">
        <v>185</v>
      </c>
      <c r="B506" s="1" t="s">
        <v>41</v>
      </c>
      <c r="C506" s="1" t="s">
        <v>179</v>
      </c>
      <c r="D506" s="1" t="n">
        <v>5</v>
      </c>
      <c r="E506" s="1" t="n">
        <v>19</v>
      </c>
      <c r="F506" s="1" t="s">
        <v>43</v>
      </c>
      <c r="G506" s="1" t="s">
        <v>44</v>
      </c>
      <c r="H506" s="1" t="n">
        <v>109</v>
      </c>
      <c r="I506" s="1" t="n">
        <v>12632.01</v>
      </c>
      <c r="J506" s="1" t="n">
        <v>300</v>
      </c>
    </row>
    <row r="507" customFormat="false" ht="15" hidden="false" customHeight="true" outlineLevel="0" collapsed="false">
      <c r="A507" s="1" t="s">
        <v>185</v>
      </c>
      <c r="B507" s="1" t="s">
        <v>41</v>
      </c>
      <c r="C507" s="1" t="s">
        <v>179</v>
      </c>
      <c r="D507" s="1" t="n">
        <v>5</v>
      </c>
      <c r="E507" s="1" t="n">
        <v>19</v>
      </c>
      <c r="F507" s="1" t="s">
        <v>45</v>
      </c>
      <c r="G507" s="1" t="s">
        <v>46</v>
      </c>
      <c r="H507" s="1" t="n">
        <v>23</v>
      </c>
      <c r="I507" s="1" t="n">
        <v>2455.94</v>
      </c>
      <c r="J507" s="1" t="n">
        <v>300</v>
      </c>
    </row>
    <row r="508" customFormat="false" ht="15" hidden="false" customHeight="true" outlineLevel="0" collapsed="false">
      <c r="A508" s="1" t="s">
        <v>185</v>
      </c>
      <c r="B508" s="1" t="s">
        <v>41</v>
      </c>
      <c r="C508" s="1" t="s">
        <v>179</v>
      </c>
      <c r="D508" s="1" t="n">
        <v>5</v>
      </c>
      <c r="E508" s="1" t="n">
        <v>19</v>
      </c>
      <c r="F508" s="1" t="s">
        <v>47</v>
      </c>
      <c r="G508" s="1" t="s">
        <v>48</v>
      </c>
      <c r="H508" s="1" t="n">
        <v>35</v>
      </c>
      <c r="I508" s="1" t="n">
        <v>3268.65</v>
      </c>
      <c r="J508" s="1" t="n">
        <v>300</v>
      </c>
    </row>
    <row r="509" customFormat="false" ht="15" hidden="false" customHeight="true" outlineLevel="0" collapsed="false">
      <c r="A509" s="1" t="s">
        <v>185</v>
      </c>
      <c r="B509" s="1" t="s">
        <v>41</v>
      </c>
      <c r="C509" s="1" t="s">
        <v>179</v>
      </c>
      <c r="D509" s="1" t="n">
        <v>5</v>
      </c>
      <c r="E509" s="1" t="n">
        <v>19</v>
      </c>
      <c r="F509" s="1" t="s">
        <v>49</v>
      </c>
      <c r="G509" s="1" t="s">
        <v>49</v>
      </c>
      <c r="H509" s="1" t="n">
        <v>36</v>
      </c>
      <c r="I509" s="1" t="n">
        <v>3289.68</v>
      </c>
      <c r="J509" s="1" t="n">
        <v>300</v>
      </c>
    </row>
    <row r="510" customFormat="false" ht="15" hidden="false" customHeight="true" outlineLevel="0" collapsed="false">
      <c r="A510" s="1" t="s">
        <v>186</v>
      </c>
      <c r="B510" s="1" t="s">
        <v>51</v>
      </c>
      <c r="C510" s="1" t="s">
        <v>179</v>
      </c>
      <c r="D510" s="1" t="n">
        <v>5</v>
      </c>
      <c r="E510" s="1" t="n">
        <v>19</v>
      </c>
      <c r="F510" s="1" t="s">
        <v>43</v>
      </c>
      <c r="G510" s="1" t="s">
        <v>44</v>
      </c>
      <c r="H510" s="1" t="n">
        <v>94</v>
      </c>
      <c r="I510" s="1" t="n">
        <v>10928.44</v>
      </c>
      <c r="J510" s="1" t="n">
        <v>300</v>
      </c>
    </row>
    <row r="511" customFormat="false" ht="15" hidden="false" customHeight="true" outlineLevel="0" collapsed="false">
      <c r="A511" s="1" t="s">
        <v>186</v>
      </c>
      <c r="B511" s="1" t="s">
        <v>51</v>
      </c>
      <c r="C511" s="1" t="s">
        <v>179</v>
      </c>
      <c r="D511" s="1" t="n">
        <v>5</v>
      </c>
      <c r="E511" s="1" t="n">
        <v>19</v>
      </c>
      <c r="F511" s="1" t="s">
        <v>45</v>
      </c>
      <c r="G511" s="1" t="s">
        <v>46</v>
      </c>
      <c r="H511" s="1" t="n">
        <v>20</v>
      </c>
      <c r="I511" s="1" t="n">
        <v>2164.4</v>
      </c>
      <c r="J511" s="1" t="n">
        <v>300</v>
      </c>
    </row>
    <row r="512" customFormat="false" ht="15" hidden="false" customHeight="true" outlineLevel="0" collapsed="false">
      <c r="A512" s="1" t="s">
        <v>186</v>
      </c>
      <c r="B512" s="1" t="s">
        <v>51</v>
      </c>
      <c r="C512" s="1" t="s">
        <v>179</v>
      </c>
      <c r="D512" s="1" t="n">
        <v>5</v>
      </c>
      <c r="E512" s="1" t="n">
        <v>19</v>
      </c>
      <c r="F512" s="1" t="s">
        <v>47</v>
      </c>
      <c r="G512" s="1" t="s">
        <v>48</v>
      </c>
      <c r="H512" s="1" t="n">
        <v>31</v>
      </c>
      <c r="I512" s="1" t="n">
        <v>2915.86</v>
      </c>
      <c r="J512" s="1" t="n">
        <v>300</v>
      </c>
    </row>
    <row r="513" customFormat="false" ht="15" hidden="false" customHeight="true" outlineLevel="0" collapsed="false">
      <c r="A513" s="1" t="s">
        <v>186</v>
      </c>
      <c r="B513" s="1" t="s">
        <v>51</v>
      </c>
      <c r="C513" s="1" t="s">
        <v>179</v>
      </c>
      <c r="D513" s="1" t="n">
        <v>5</v>
      </c>
      <c r="E513" s="1" t="n">
        <v>19</v>
      </c>
      <c r="F513" s="1" t="s">
        <v>49</v>
      </c>
      <c r="G513" s="1" t="s">
        <v>49</v>
      </c>
      <c r="H513" s="1" t="n">
        <v>31</v>
      </c>
      <c r="I513" s="1" t="n">
        <v>3159.52</v>
      </c>
      <c r="J513" s="1" t="n">
        <v>300</v>
      </c>
    </row>
    <row r="514" customFormat="false" ht="15" hidden="false" customHeight="true" outlineLevel="0" collapsed="false">
      <c r="A514" s="1" t="s">
        <v>187</v>
      </c>
      <c r="B514" s="1" t="s">
        <v>53</v>
      </c>
      <c r="C514" s="1" t="s">
        <v>179</v>
      </c>
      <c r="D514" s="1" t="n">
        <v>5</v>
      </c>
      <c r="E514" s="1" t="n">
        <v>19</v>
      </c>
      <c r="F514" s="1" t="s">
        <v>43</v>
      </c>
      <c r="G514" s="1" t="s">
        <v>44</v>
      </c>
      <c r="H514" s="1" t="n">
        <v>115</v>
      </c>
      <c r="I514" s="1" t="n">
        <v>14130.05</v>
      </c>
      <c r="J514" s="1" t="n">
        <v>300</v>
      </c>
    </row>
    <row r="515" customFormat="false" ht="15" hidden="false" customHeight="true" outlineLevel="0" collapsed="false">
      <c r="A515" s="1" t="s">
        <v>187</v>
      </c>
      <c r="B515" s="1" t="s">
        <v>53</v>
      </c>
      <c r="C515" s="1" t="s">
        <v>179</v>
      </c>
      <c r="D515" s="1" t="n">
        <v>5</v>
      </c>
      <c r="E515" s="1" t="n">
        <v>19</v>
      </c>
      <c r="F515" s="1" t="s">
        <v>45</v>
      </c>
      <c r="G515" s="1" t="s">
        <v>46</v>
      </c>
      <c r="H515" s="1" t="n">
        <v>21</v>
      </c>
      <c r="I515" s="1" t="n">
        <v>2232.09</v>
      </c>
      <c r="J515" s="1" t="n">
        <v>300</v>
      </c>
    </row>
    <row r="516" customFormat="false" ht="15" hidden="false" customHeight="true" outlineLevel="0" collapsed="false">
      <c r="A516" s="1" t="s">
        <v>187</v>
      </c>
      <c r="B516" s="1" t="s">
        <v>53</v>
      </c>
      <c r="C516" s="1" t="s">
        <v>179</v>
      </c>
      <c r="D516" s="1" t="n">
        <v>5</v>
      </c>
      <c r="E516" s="1" t="n">
        <v>19</v>
      </c>
      <c r="F516" s="1" t="s">
        <v>47</v>
      </c>
      <c r="G516" s="1" t="s">
        <v>48</v>
      </c>
      <c r="H516" s="1" t="n">
        <v>31</v>
      </c>
      <c r="I516" s="1" t="n">
        <v>2834.64</v>
      </c>
      <c r="J516" s="1" t="n">
        <v>300</v>
      </c>
    </row>
    <row r="517" customFormat="false" ht="15" hidden="false" customHeight="true" outlineLevel="0" collapsed="false">
      <c r="A517" s="1" t="s">
        <v>187</v>
      </c>
      <c r="B517" s="1" t="s">
        <v>53</v>
      </c>
      <c r="C517" s="1" t="s">
        <v>179</v>
      </c>
      <c r="D517" s="1" t="n">
        <v>5</v>
      </c>
      <c r="E517" s="1" t="n">
        <v>19</v>
      </c>
      <c r="F517" s="1" t="s">
        <v>49</v>
      </c>
      <c r="G517" s="1" t="s">
        <v>49</v>
      </c>
      <c r="H517" s="1" t="n">
        <v>31</v>
      </c>
      <c r="I517" s="1" t="n">
        <v>2519.37</v>
      </c>
      <c r="J517" s="1" t="n">
        <v>300</v>
      </c>
    </row>
    <row r="518" customFormat="false" ht="15" hidden="false" customHeight="true" outlineLevel="0" collapsed="false">
      <c r="A518" s="1" t="s">
        <v>188</v>
      </c>
      <c r="B518" s="1" t="s">
        <v>55</v>
      </c>
      <c r="C518" s="1" t="s">
        <v>179</v>
      </c>
      <c r="D518" s="1" t="n">
        <v>5</v>
      </c>
      <c r="E518" s="1" t="n">
        <v>19</v>
      </c>
      <c r="F518" s="1" t="s">
        <v>43</v>
      </c>
      <c r="G518" s="1" t="s">
        <v>44</v>
      </c>
      <c r="H518" s="1" t="n">
        <v>20</v>
      </c>
      <c r="I518" s="1" t="n">
        <v>2487.8</v>
      </c>
      <c r="J518" s="1" t="n">
        <v>300</v>
      </c>
    </row>
    <row r="519" customFormat="false" ht="15" hidden="false" customHeight="true" outlineLevel="0" collapsed="false">
      <c r="A519" s="1" t="s">
        <v>188</v>
      </c>
      <c r="B519" s="1" t="s">
        <v>55</v>
      </c>
      <c r="C519" s="1" t="s">
        <v>179</v>
      </c>
      <c r="D519" s="1" t="n">
        <v>5</v>
      </c>
      <c r="E519" s="1" t="n">
        <v>19</v>
      </c>
      <c r="F519" s="1" t="s">
        <v>45</v>
      </c>
      <c r="G519" s="1" t="s">
        <v>46</v>
      </c>
      <c r="H519" s="1" t="n">
        <v>55</v>
      </c>
      <c r="I519" s="1" t="n">
        <v>6352.5</v>
      </c>
      <c r="J519" s="1" t="n">
        <v>300</v>
      </c>
    </row>
    <row r="520" customFormat="false" ht="15" hidden="false" customHeight="true" outlineLevel="0" collapsed="false">
      <c r="A520" s="1" t="s">
        <v>188</v>
      </c>
      <c r="B520" s="1" t="s">
        <v>55</v>
      </c>
      <c r="C520" s="1" t="s">
        <v>179</v>
      </c>
      <c r="D520" s="1" t="n">
        <v>5</v>
      </c>
      <c r="E520" s="1" t="n">
        <v>19</v>
      </c>
      <c r="F520" s="1" t="s">
        <v>47</v>
      </c>
      <c r="G520" s="1" t="s">
        <v>48</v>
      </c>
      <c r="H520" s="1" t="n">
        <v>14</v>
      </c>
      <c r="I520" s="1" t="n">
        <v>1244.04</v>
      </c>
      <c r="J520" s="1" t="n">
        <v>300</v>
      </c>
    </row>
    <row r="521" customFormat="false" ht="15" hidden="false" customHeight="true" outlineLevel="0" collapsed="false">
      <c r="A521" s="1" t="s">
        <v>188</v>
      </c>
      <c r="B521" s="1" t="s">
        <v>55</v>
      </c>
      <c r="C521" s="1" t="s">
        <v>179</v>
      </c>
      <c r="D521" s="1" t="n">
        <v>5</v>
      </c>
      <c r="E521" s="1" t="n">
        <v>19</v>
      </c>
      <c r="F521" s="1" t="s">
        <v>49</v>
      </c>
      <c r="G521" s="1" t="s">
        <v>49</v>
      </c>
      <c r="H521" s="1" t="n">
        <v>41</v>
      </c>
      <c r="I521" s="1" t="n">
        <v>3935.59</v>
      </c>
      <c r="J521" s="1" t="n">
        <v>300</v>
      </c>
    </row>
    <row r="522" customFormat="false" ht="15" hidden="false" customHeight="true" outlineLevel="0" collapsed="false">
      <c r="A522" s="1" t="s">
        <v>189</v>
      </c>
      <c r="B522" s="1" t="s">
        <v>57</v>
      </c>
      <c r="C522" s="1" t="s">
        <v>179</v>
      </c>
      <c r="D522" s="1" t="n">
        <v>5</v>
      </c>
      <c r="E522" s="1" t="n">
        <v>19</v>
      </c>
      <c r="F522" s="1" t="s">
        <v>43</v>
      </c>
      <c r="G522" s="1" t="s">
        <v>44</v>
      </c>
      <c r="H522" s="1" t="n">
        <v>22</v>
      </c>
      <c r="I522" s="1" t="n">
        <v>2561.68</v>
      </c>
      <c r="J522" s="1" t="n">
        <v>300</v>
      </c>
    </row>
    <row r="523" customFormat="false" ht="15" hidden="false" customHeight="true" outlineLevel="0" collapsed="false">
      <c r="A523" s="1" t="s">
        <v>189</v>
      </c>
      <c r="B523" s="1" t="s">
        <v>57</v>
      </c>
      <c r="C523" s="1" t="s">
        <v>179</v>
      </c>
      <c r="D523" s="1" t="n">
        <v>5</v>
      </c>
      <c r="E523" s="1" t="n">
        <v>19</v>
      </c>
      <c r="F523" s="1" t="s">
        <v>45</v>
      </c>
      <c r="G523" s="1" t="s">
        <v>46</v>
      </c>
      <c r="H523" s="1" t="n">
        <v>63</v>
      </c>
      <c r="I523" s="1" t="n">
        <v>6633.27</v>
      </c>
      <c r="J523" s="1" t="n">
        <v>300</v>
      </c>
    </row>
    <row r="524" customFormat="false" ht="15" hidden="false" customHeight="true" outlineLevel="0" collapsed="false">
      <c r="A524" s="1" t="s">
        <v>189</v>
      </c>
      <c r="B524" s="1" t="s">
        <v>57</v>
      </c>
      <c r="C524" s="1" t="s">
        <v>179</v>
      </c>
      <c r="D524" s="1" t="n">
        <v>5</v>
      </c>
      <c r="E524" s="1" t="n">
        <v>19</v>
      </c>
      <c r="F524" s="1" t="s">
        <v>47</v>
      </c>
      <c r="G524" s="1" t="s">
        <v>48</v>
      </c>
      <c r="H524" s="1" t="n">
        <v>16</v>
      </c>
      <c r="I524" s="1" t="n">
        <v>1641.28</v>
      </c>
      <c r="J524" s="1" t="n">
        <v>300</v>
      </c>
    </row>
    <row r="525" customFormat="false" ht="15" hidden="false" customHeight="true" outlineLevel="0" collapsed="false">
      <c r="A525" s="1" t="s">
        <v>189</v>
      </c>
      <c r="B525" s="1" t="s">
        <v>57</v>
      </c>
      <c r="C525" s="1" t="s">
        <v>179</v>
      </c>
      <c r="D525" s="1" t="n">
        <v>5</v>
      </c>
      <c r="E525" s="1" t="n">
        <v>19</v>
      </c>
      <c r="F525" s="1" t="s">
        <v>49</v>
      </c>
      <c r="G525" s="1" t="s">
        <v>49</v>
      </c>
      <c r="H525" s="1" t="n">
        <v>42</v>
      </c>
      <c r="I525" s="1" t="n">
        <v>3434.34</v>
      </c>
      <c r="J525" s="1" t="n">
        <v>300</v>
      </c>
    </row>
    <row r="526" customFormat="false" ht="15" hidden="false" customHeight="true" outlineLevel="0" collapsed="false">
      <c r="A526" s="1" t="s">
        <v>190</v>
      </c>
      <c r="B526" s="1" t="s">
        <v>59</v>
      </c>
      <c r="C526" s="1" t="s">
        <v>179</v>
      </c>
      <c r="D526" s="1" t="n">
        <v>5</v>
      </c>
      <c r="E526" s="1" t="n">
        <v>20</v>
      </c>
      <c r="F526" s="1" t="s">
        <v>43</v>
      </c>
      <c r="G526" s="1" t="s">
        <v>44</v>
      </c>
      <c r="H526" s="1" t="n">
        <v>113</v>
      </c>
      <c r="I526" s="1" t="n">
        <v>14650.45</v>
      </c>
      <c r="J526" s="1" t="n">
        <v>300</v>
      </c>
    </row>
    <row r="527" customFormat="false" ht="15" hidden="false" customHeight="true" outlineLevel="0" collapsed="false">
      <c r="A527" s="1" t="s">
        <v>190</v>
      </c>
      <c r="B527" s="1" t="s">
        <v>59</v>
      </c>
      <c r="C527" s="1" t="s">
        <v>179</v>
      </c>
      <c r="D527" s="1" t="n">
        <v>5</v>
      </c>
      <c r="E527" s="1" t="n">
        <v>20</v>
      </c>
      <c r="F527" s="1" t="s">
        <v>45</v>
      </c>
      <c r="G527" s="1" t="s">
        <v>46</v>
      </c>
      <c r="H527" s="1" t="n">
        <v>20</v>
      </c>
      <c r="I527" s="1" t="n">
        <v>2160.8</v>
      </c>
      <c r="J527" s="1" t="n">
        <v>300</v>
      </c>
    </row>
    <row r="528" customFormat="false" ht="15" hidden="false" customHeight="true" outlineLevel="0" collapsed="false">
      <c r="A528" s="1" t="s">
        <v>190</v>
      </c>
      <c r="B528" s="1" t="s">
        <v>59</v>
      </c>
      <c r="C528" s="1" t="s">
        <v>179</v>
      </c>
      <c r="D528" s="1" t="n">
        <v>5</v>
      </c>
      <c r="E528" s="1" t="n">
        <v>20</v>
      </c>
      <c r="F528" s="1" t="s">
        <v>47</v>
      </c>
      <c r="G528" s="1" t="s">
        <v>48</v>
      </c>
      <c r="H528" s="1" t="n">
        <v>31</v>
      </c>
      <c r="I528" s="1" t="n">
        <v>3067.14</v>
      </c>
      <c r="J528" s="1" t="n">
        <v>300</v>
      </c>
    </row>
    <row r="529" customFormat="false" ht="15" hidden="false" customHeight="true" outlineLevel="0" collapsed="false">
      <c r="A529" s="1" t="s">
        <v>190</v>
      </c>
      <c r="B529" s="1" t="s">
        <v>59</v>
      </c>
      <c r="C529" s="1" t="s">
        <v>179</v>
      </c>
      <c r="D529" s="1" t="n">
        <v>5</v>
      </c>
      <c r="E529" s="1" t="n">
        <v>20</v>
      </c>
      <c r="F529" s="1" t="s">
        <v>49</v>
      </c>
      <c r="G529" s="1" t="s">
        <v>49</v>
      </c>
      <c r="H529" s="1" t="n">
        <v>30</v>
      </c>
      <c r="I529" s="1" t="n">
        <v>2600.1</v>
      </c>
      <c r="J529" s="1" t="n">
        <v>300</v>
      </c>
    </row>
    <row r="530" customFormat="false" ht="15" hidden="false" customHeight="true" outlineLevel="0" collapsed="false">
      <c r="A530" s="1" t="s">
        <v>191</v>
      </c>
      <c r="B530" s="1" t="s">
        <v>61</v>
      </c>
      <c r="C530" s="1" t="s">
        <v>179</v>
      </c>
      <c r="D530" s="1" t="n">
        <v>5</v>
      </c>
      <c r="E530" s="1" t="n">
        <v>20</v>
      </c>
      <c r="F530" s="1" t="s">
        <v>43</v>
      </c>
      <c r="G530" s="1" t="s">
        <v>44</v>
      </c>
      <c r="H530" s="1" t="n">
        <v>100</v>
      </c>
      <c r="I530" s="1" t="n">
        <v>12817</v>
      </c>
      <c r="J530" s="1" t="n">
        <v>300</v>
      </c>
    </row>
    <row r="531" customFormat="false" ht="15" hidden="false" customHeight="true" outlineLevel="0" collapsed="false">
      <c r="A531" s="1" t="s">
        <v>191</v>
      </c>
      <c r="B531" s="1" t="s">
        <v>61</v>
      </c>
      <c r="C531" s="1" t="s">
        <v>179</v>
      </c>
      <c r="D531" s="1" t="n">
        <v>5</v>
      </c>
      <c r="E531" s="1" t="n">
        <v>20</v>
      </c>
      <c r="F531" s="1" t="s">
        <v>45</v>
      </c>
      <c r="G531" s="1" t="s">
        <v>46</v>
      </c>
      <c r="H531" s="1" t="n">
        <v>22</v>
      </c>
      <c r="I531" s="1" t="n">
        <v>2270.18</v>
      </c>
      <c r="J531" s="1" t="n">
        <v>300</v>
      </c>
    </row>
    <row r="532" customFormat="false" ht="15" hidden="false" customHeight="true" outlineLevel="0" collapsed="false">
      <c r="A532" s="1" t="s">
        <v>191</v>
      </c>
      <c r="B532" s="1" t="s">
        <v>61</v>
      </c>
      <c r="C532" s="1" t="s">
        <v>179</v>
      </c>
      <c r="D532" s="1" t="n">
        <v>5</v>
      </c>
      <c r="E532" s="1" t="n">
        <v>20</v>
      </c>
      <c r="F532" s="1" t="s">
        <v>47</v>
      </c>
      <c r="G532" s="1" t="s">
        <v>48</v>
      </c>
      <c r="H532" s="1" t="n">
        <v>31</v>
      </c>
      <c r="I532" s="1" t="n">
        <v>2503.87</v>
      </c>
      <c r="J532" s="1" t="n">
        <v>300</v>
      </c>
    </row>
    <row r="533" customFormat="false" ht="15" hidden="false" customHeight="true" outlineLevel="0" collapsed="false">
      <c r="A533" s="1" t="s">
        <v>191</v>
      </c>
      <c r="B533" s="1" t="s">
        <v>61</v>
      </c>
      <c r="C533" s="1" t="s">
        <v>179</v>
      </c>
      <c r="D533" s="1" t="n">
        <v>5</v>
      </c>
      <c r="E533" s="1" t="n">
        <v>20</v>
      </c>
      <c r="F533" s="1" t="s">
        <v>49</v>
      </c>
      <c r="G533" s="1" t="s">
        <v>49</v>
      </c>
      <c r="H533" s="1" t="n">
        <v>35</v>
      </c>
      <c r="I533" s="1" t="n">
        <v>2831.15</v>
      </c>
      <c r="J533" s="1" t="n">
        <v>300</v>
      </c>
    </row>
    <row r="534" customFormat="false" ht="15" hidden="false" customHeight="true" outlineLevel="0" collapsed="false">
      <c r="A534" s="1" t="s">
        <v>192</v>
      </c>
      <c r="B534" s="1" t="s">
        <v>41</v>
      </c>
      <c r="C534" s="1" t="s">
        <v>179</v>
      </c>
      <c r="D534" s="1" t="n">
        <v>5</v>
      </c>
      <c r="E534" s="1" t="n">
        <v>20</v>
      </c>
      <c r="F534" s="1" t="s">
        <v>43</v>
      </c>
      <c r="G534" s="1" t="s">
        <v>44</v>
      </c>
      <c r="H534" s="1" t="n">
        <v>96</v>
      </c>
      <c r="I534" s="1" t="n">
        <v>10723.2</v>
      </c>
      <c r="J534" s="1" t="n">
        <v>300</v>
      </c>
    </row>
    <row r="535" customFormat="false" ht="15" hidden="false" customHeight="true" outlineLevel="0" collapsed="false">
      <c r="A535" s="1" t="s">
        <v>192</v>
      </c>
      <c r="B535" s="1" t="s">
        <v>41</v>
      </c>
      <c r="C535" s="1" t="s">
        <v>179</v>
      </c>
      <c r="D535" s="1" t="n">
        <v>5</v>
      </c>
      <c r="E535" s="1" t="n">
        <v>20</v>
      </c>
      <c r="F535" s="1" t="s">
        <v>45</v>
      </c>
      <c r="G535" s="1" t="s">
        <v>46</v>
      </c>
      <c r="H535" s="1" t="n">
        <v>19</v>
      </c>
      <c r="I535" s="1" t="n">
        <v>2144.72</v>
      </c>
      <c r="J535" s="1" t="n">
        <v>300</v>
      </c>
    </row>
    <row r="536" customFormat="false" ht="15" hidden="false" customHeight="true" outlineLevel="0" collapsed="false">
      <c r="A536" s="1" t="s">
        <v>192</v>
      </c>
      <c r="B536" s="1" t="s">
        <v>41</v>
      </c>
      <c r="C536" s="1" t="s">
        <v>179</v>
      </c>
      <c r="D536" s="1" t="n">
        <v>5</v>
      </c>
      <c r="E536" s="1" t="n">
        <v>20</v>
      </c>
      <c r="F536" s="1" t="s">
        <v>47</v>
      </c>
      <c r="G536" s="1" t="s">
        <v>48</v>
      </c>
      <c r="H536" s="1" t="n">
        <v>28</v>
      </c>
      <c r="I536" s="1" t="n">
        <v>2784.32</v>
      </c>
      <c r="J536" s="1" t="n">
        <v>300</v>
      </c>
    </row>
    <row r="537" customFormat="false" ht="15" hidden="false" customHeight="true" outlineLevel="0" collapsed="false">
      <c r="A537" s="1" t="s">
        <v>192</v>
      </c>
      <c r="B537" s="1" t="s">
        <v>41</v>
      </c>
      <c r="C537" s="1" t="s">
        <v>179</v>
      </c>
      <c r="D537" s="1" t="n">
        <v>5</v>
      </c>
      <c r="E537" s="1" t="n">
        <v>20</v>
      </c>
      <c r="F537" s="1" t="s">
        <v>49</v>
      </c>
      <c r="G537" s="1" t="s">
        <v>49</v>
      </c>
      <c r="H537" s="1" t="n">
        <v>31</v>
      </c>
      <c r="I537" s="1" t="n">
        <v>2879.9</v>
      </c>
      <c r="J537" s="1" t="n">
        <v>300</v>
      </c>
    </row>
    <row r="538" customFormat="false" ht="15" hidden="false" customHeight="true" outlineLevel="0" collapsed="false">
      <c r="A538" s="1" t="s">
        <v>193</v>
      </c>
      <c r="B538" s="1" t="s">
        <v>51</v>
      </c>
      <c r="C538" s="1" t="s">
        <v>179</v>
      </c>
      <c r="D538" s="1" t="n">
        <v>5</v>
      </c>
      <c r="E538" s="1" t="n">
        <v>20</v>
      </c>
      <c r="F538" s="1" t="s">
        <v>43</v>
      </c>
      <c r="G538" s="1" t="s">
        <v>44</v>
      </c>
      <c r="H538" s="1" t="n">
        <v>100</v>
      </c>
      <c r="I538" s="1" t="n">
        <v>11052</v>
      </c>
      <c r="J538" s="1" t="n">
        <v>300</v>
      </c>
    </row>
    <row r="539" customFormat="false" ht="15" hidden="false" customHeight="true" outlineLevel="0" collapsed="false">
      <c r="A539" s="1" t="s">
        <v>193</v>
      </c>
      <c r="B539" s="1" t="s">
        <v>51</v>
      </c>
      <c r="C539" s="1" t="s">
        <v>179</v>
      </c>
      <c r="D539" s="1" t="n">
        <v>5</v>
      </c>
      <c r="E539" s="1" t="n">
        <v>20</v>
      </c>
      <c r="F539" s="1" t="s">
        <v>45</v>
      </c>
      <c r="G539" s="1" t="s">
        <v>46</v>
      </c>
      <c r="H539" s="1" t="n">
        <v>23</v>
      </c>
      <c r="I539" s="1" t="n">
        <v>2355.43</v>
      </c>
      <c r="J539" s="1" t="n">
        <v>300</v>
      </c>
    </row>
    <row r="540" customFormat="false" ht="15" hidden="false" customHeight="true" outlineLevel="0" collapsed="false">
      <c r="A540" s="1" t="s">
        <v>193</v>
      </c>
      <c r="B540" s="1" t="s">
        <v>51</v>
      </c>
      <c r="C540" s="1" t="s">
        <v>179</v>
      </c>
      <c r="D540" s="1" t="n">
        <v>5</v>
      </c>
      <c r="E540" s="1" t="n">
        <v>20</v>
      </c>
      <c r="F540" s="1" t="s">
        <v>47</v>
      </c>
      <c r="G540" s="1" t="s">
        <v>48</v>
      </c>
      <c r="H540" s="1" t="n">
        <v>25</v>
      </c>
      <c r="I540" s="1" t="n">
        <v>2372.75</v>
      </c>
      <c r="J540" s="1" t="n">
        <v>300</v>
      </c>
    </row>
    <row r="541" customFormat="false" ht="15" hidden="false" customHeight="true" outlineLevel="0" collapsed="false">
      <c r="A541" s="1" t="s">
        <v>193</v>
      </c>
      <c r="B541" s="1" t="s">
        <v>51</v>
      </c>
      <c r="C541" s="1" t="s">
        <v>179</v>
      </c>
      <c r="D541" s="1" t="n">
        <v>5</v>
      </c>
      <c r="E541" s="1" t="n">
        <v>20</v>
      </c>
      <c r="F541" s="1" t="s">
        <v>49</v>
      </c>
      <c r="G541" s="1" t="s">
        <v>49</v>
      </c>
      <c r="H541" s="1" t="n">
        <v>36</v>
      </c>
      <c r="I541" s="1" t="n">
        <v>3417.12</v>
      </c>
      <c r="J541" s="1" t="n">
        <v>300</v>
      </c>
    </row>
    <row r="542" customFormat="false" ht="15" hidden="false" customHeight="true" outlineLevel="0" collapsed="false">
      <c r="A542" s="1" t="s">
        <v>194</v>
      </c>
      <c r="B542" s="1" t="s">
        <v>53</v>
      </c>
      <c r="C542" s="1" t="s">
        <v>179</v>
      </c>
      <c r="D542" s="1" t="n">
        <v>5</v>
      </c>
      <c r="E542" s="1" t="n">
        <v>20</v>
      </c>
      <c r="F542" s="1" t="s">
        <v>43</v>
      </c>
      <c r="G542" s="1" t="s">
        <v>44</v>
      </c>
      <c r="H542" s="1" t="n">
        <v>97</v>
      </c>
      <c r="I542" s="1" t="n">
        <v>11371.31</v>
      </c>
      <c r="J542" s="1" t="n">
        <v>300</v>
      </c>
    </row>
    <row r="543" customFormat="false" ht="15" hidden="false" customHeight="true" outlineLevel="0" collapsed="false">
      <c r="A543" s="1" t="s">
        <v>194</v>
      </c>
      <c r="B543" s="1" t="s">
        <v>53</v>
      </c>
      <c r="C543" s="1" t="s">
        <v>179</v>
      </c>
      <c r="D543" s="1" t="n">
        <v>5</v>
      </c>
      <c r="E543" s="1" t="n">
        <v>20</v>
      </c>
      <c r="F543" s="1" t="s">
        <v>45</v>
      </c>
      <c r="G543" s="1" t="s">
        <v>46</v>
      </c>
      <c r="H543" s="1" t="n">
        <v>20</v>
      </c>
      <c r="I543" s="1" t="n">
        <v>2373.6</v>
      </c>
      <c r="J543" s="1" t="n">
        <v>300</v>
      </c>
    </row>
    <row r="544" customFormat="false" ht="15" hidden="false" customHeight="true" outlineLevel="0" collapsed="false">
      <c r="A544" s="1" t="s">
        <v>194</v>
      </c>
      <c r="B544" s="1" t="s">
        <v>53</v>
      </c>
      <c r="C544" s="1" t="s">
        <v>179</v>
      </c>
      <c r="D544" s="1" t="n">
        <v>5</v>
      </c>
      <c r="E544" s="1" t="n">
        <v>20</v>
      </c>
      <c r="F544" s="1" t="s">
        <v>47</v>
      </c>
      <c r="G544" s="1" t="s">
        <v>48</v>
      </c>
      <c r="H544" s="1" t="n">
        <v>30</v>
      </c>
      <c r="I544" s="1" t="n">
        <v>2997.9</v>
      </c>
      <c r="J544" s="1" t="n">
        <v>300</v>
      </c>
    </row>
    <row r="545" customFormat="false" ht="15" hidden="false" customHeight="true" outlineLevel="0" collapsed="false">
      <c r="A545" s="1" t="s">
        <v>194</v>
      </c>
      <c r="B545" s="1" t="s">
        <v>53</v>
      </c>
      <c r="C545" s="1" t="s">
        <v>179</v>
      </c>
      <c r="D545" s="1" t="n">
        <v>5</v>
      </c>
      <c r="E545" s="1" t="n">
        <v>20</v>
      </c>
      <c r="F545" s="1" t="s">
        <v>49</v>
      </c>
      <c r="G545" s="1" t="s">
        <v>49</v>
      </c>
      <c r="H545" s="1" t="n">
        <v>34</v>
      </c>
      <c r="I545" s="1" t="n">
        <v>3114.74</v>
      </c>
      <c r="J545" s="1" t="n">
        <v>300</v>
      </c>
    </row>
    <row r="546" customFormat="false" ht="15" hidden="false" customHeight="true" outlineLevel="0" collapsed="false">
      <c r="A546" s="1" t="s">
        <v>195</v>
      </c>
      <c r="B546" s="1" t="s">
        <v>55</v>
      </c>
      <c r="C546" s="1" t="s">
        <v>179</v>
      </c>
      <c r="D546" s="1" t="n">
        <v>5</v>
      </c>
      <c r="E546" s="1" t="n">
        <v>20</v>
      </c>
      <c r="F546" s="1" t="s">
        <v>43</v>
      </c>
      <c r="G546" s="1" t="s">
        <v>44</v>
      </c>
      <c r="H546" s="1" t="n">
        <v>18</v>
      </c>
      <c r="I546" s="1" t="n">
        <v>2129.94</v>
      </c>
      <c r="J546" s="1" t="n">
        <v>300</v>
      </c>
    </row>
    <row r="547" customFormat="false" ht="15" hidden="false" customHeight="true" outlineLevel="0" collapsed="false">
      <c r="A547" s="1" t="s">
        <v>195</v>
      </c>
      <c r="B547" s="1" t="s">
        <v>55</v>
      </c>
      <c r="C547" s="1" t="s">
        <v>179</v>
      </c>
      <c r="D547" s="1" t="n">
        <v>5</v>
      </c>
      <c r="E547" s="1" t="n">
        <v>20</v>
      </c>
      <c r="F547" s="1" t="s">
        <v>45</v>
      </c>
      <c r="G547" s="1" t="s">
        <v>46</v>
      </c>
      <c r="H547" s="1" t="n">
        <v>57</v>
      </c>
      <c r="I547" s="1" t="n">
        <v>6002.1</v>
      </c>
      <c r="J547" s="1" t="n">
        <v>300</v>
      </c>
    </row>
    <row r="548" customFormat="false" ht="15" hidden="false" customHeight="true" outlineLevel="0" collapsed="false">
      <c r="A548" s="1" t="s">
        <v>195</v>
      </c>
      <c r="B548" s="1" t="s">
        <v>55</v>
      </c>
      <c r="C548" s="1" t="s">
        <v>179</v>
      </c>
      <c r="D548" s="1" t="n">
        <v>5</v>
      </c>
      <c r="E548" s="1" t="n">
        <v>20</v>
      </c>
      <c r="F548" s="1" t="s">
        <v>47</v>
      </c>
      <c r="G548" s="1" t="s">
        <v>48</v>
      </c>
      <c r="H548" s="1" t="n">
        <v>17</v>
      </c>
      <c r="I548" s="1" t="n">
        <v>1661.24</v>
      </c>
      <c r="J548" s="1" t="n">
        <v>300</v>
      </c>
    </row>
    <row r="549" customFormat="false" ht="15" hidden="false" customHeight="true" outlineLevel="0" collapsed="false">
      <c r="A549" s="1" t="s">
        <v>195</v>
      </c>
      <c r="B549" s="1" t="s">
        <v>55</v>
      </c>
      <c r="C549" s="1" t="s">
        <v>179</v>
      </c>
      <c r="D549" s="1" t="n">
        <v>5</v>
      </c>
      <c r="E549" s="1" t="n">
        <v>20</v>
      </c>
      <c r="F549" s="1" t="s">
        <v>49</v>
      </c>
      <c r="G549" s="1" t="s">
        <v>49</v>
      </c>
      <c r="H549" s="1" t="n">
        <v>43</v>
      </c>
      <c r="I549" s="1" t="n">
        <v>3864.41</v>
      </c>
      <c r="J549" s="1" t="n">
        <v>300</v>
      </c>
    </row>
    <row r="550" customFormat="false" ht="15" hidden="false" customHeight="true" outlineLevel="0" collapsed="false">
      <c r="A550" s="1" t="s">
        <v>196</v>
      </c>
      <c r="B550" s="1" t="s">
        <v>57</v>
      </c>
      <c r="C550" s="1" t="s">
        <v>179</v>
      </c>
      <c r="D550" s="1" t="n">
        <v>5</v>
      </c>
      <c r="E550" s="1" t="n">
        <v>20</v>
      </c>
      <c r="F550" s="1" t="s">
        <v>43</v>
      </c>
      <c r="G550" s="1" t="s">
        <v>44</v>
      </c>
      <c r="H550" s="1" t="n">
        <v>19</v>
      </c>
      <c r="I550" s="1" t="n">
        <v>2002.22</v>
      </c>
      <c r="J550" s="1" t="n">
        <v>300</v>
      </c>
    </row>
    <row r="551" customFormat="false" ht="15" hidden="false" customHeight="true" outlineLevel="0" collapsed="false">
      <c r="A551" s="1" t="s">
        <v>196</v>
      </c>
      <c r="B551" s="1" t="s">
        <v>57</v>
      </c>
      <c r="C551" s="1" t="s">
        <v>179</v>
      </c>
      <c r="D551" s="1" t="n">
        <v>5</v>
      </c>
      <c r="E551" s="1" t="n">
        <v>20</v>
      </c>
      <c r="F551" s="1" t="s">
        <v>45</v>
      </c>
      <c r="G551" s="1" t="s">
        <v>46</v>
      </c>
      <c r="H551" s="1" t="n">
        <v>63</v>
      </c>
      <c r="I551" s="1" t="n">
        <v>6786.99</v>
      </c>
      <c r="J551" s="1" t="n">
        <v>300</v>
      </c>
    </row>
    <row r="552" customFormat="false" ht="15" hidden="false" customHeight="true" outlineLevel="0" collapsed="false">
      <c r="A552" s="1" t="s">
        <v>196</v>
      </c>
      <c r="B552" s="1" t="s">
        <v>57</v>
      </c>
      <c r="C552" s="1" t="s">
        <v>179</v>
      </c>
      <c r="D552" s="1" t="n">
        <v>5</v>
      </c>
      <c r="E552" s="1" t="n">
        <v>20</v>
      </c>
      <c r="F552" s="1" t="s">
        <v>47</v>
      </c>
      <c r="G552" s="1" t="s">
        <v>48</v>
      </c>
      <c r="H552" s="1" t="n">
        <v>17</v>
      </c>
      <c r="I552" s="1" t="n">
        <v>1368.33</v>
      </c>
      <c r="J552" s="1" t="n">
        <v>300</v>
      </c>
    </row>
    <row r="553" customFormat="false" ht="15" hidden="false" customHeight="true" outlineLevel="0" collapsed="false">
      <c r="A553" s="1" t="s">
        <v>196</v>
      </c>
      <c r="B553" s="1" t="s">
        <v>57</v>
      </c>
      <c r="C553" s="1" t="s">
        <v>179</v>
      </c>
      <c r="D553" s="1" t="n">
        <v>5</v>
      </c>
      <c r="E553" s="1" t="n">
        <v>20</v>
      </c>
      <c r="F553" s="1" t="s">
        <v>49</v>
      </c>
      <c r="G553" s="1" t="s">
        <v>49</v>
      </c>
      <c r="H553" s="1" t="n">
        <v>47</v>
      </c>
      <c r="I553" s="1" t="n">
        <v>4209.32</v>
      </c>
      <c r="J553" s="1" t="n">
        <v>300</v>
      </c>
    </row>
    <row r="554" customFormat="false" ht="15" hidden="false" customHeight="true" outlineLevel="0" collapsed="false">
      <c r="A554" s="1" t="s">
        <v>197</v>
      </c>
      <c r="B554" s="1" t="s">
        <v>59</v>
      </c>
      <c r="C554" s="1" t="s">
        <v>179</v>
      </c>
      <c r="D554" s="1" t="n">
        <v>5</v>
      </c>
      <c r="E554" s="1" t="n">
        <v>21</v>
      </c>
      <c r="F554" s="1" t="s">
        <v>43</v>
      </c>
      <c r="G554" s="1" t="s">
        <v>44</v>
      </c>
      <c r="H554" s="1" t="n">
        <v>110</v>
      </c>
      <c r="I554" s="1" t="n">
        <v>12349.7</v>
      </c>
      <c r="J554" s="1" t="n">
        <v>300</v>
      </c>
    </row>
    <row r="555" customFormat="false" ht="15" hidden="false" customHeight="true" outlineLevel="0" collapsed="false">
      <c r="A555" s="1" t="s">
        <v>197</v>
      </c>
      <c r="B555" s="1" t="s">
        <v>59</v>
      </c>
      <c r="C555" s="1" t="s">
        <v>179</v>
      </c>
      <c r="D555" s="1" t="n">
        <v>5</v>
      </c>
      <c r="E555" s="1" t="n">
        <v>21</v>
      </c>
      <c r="F555" s="1" t="s">
        <v>45</v>
      </c>
      <c r="G555" s="1" t="s">
        <v>46</v>
      </c>
      <c r="H555" s="1" t="n">
        <v>22</v>
      </c>
      <c r="I555" s="1" t="n">
        <v>2174.92</v>
      </c>
      <c r="J555" s="1" t="n">
        <v>300</v>
      </c>
    </row>
    <row r="556" customFormat="false" ht="15" hidden="false" customHeight="true" outlineLevel="0" collapsed="false">
      <c r="A556" s="1" t="s">
        <v>197</v>
      </c>
      <c r="B556" s="1" t="s">
        <v>59</v>
      </c>
      <c r="C556" s="1" t="s">
        <v>179</v>
      </c>
      <c r="D556" s="1" t="n">
        <v>5</v>
      </c>
      <c r="E556" s="1" t="n">
        <v>21</v>
      </c>
      <c r="F556" s="1" t="s">
        <v>47</v>
      </c>
      <c r="G556" s="1" t="s">
        <v>48</v>
      </c>
      <c r="H556" s="1" t="n">
        <v>28</v>
      </c>
      <c r="I556" s="1" t="n">
        <v>3040.8</v>
      </c>
      <c r="J556" s="1" t="n">
        <v>300</v>
      </c>
    </row>
    <row r="557" customFormat="false" ht="15" hidden="false" customHeight="true" outlineLevel="0" collapsed="false">
      <c r="A557" s="1" t="s">
        <v>197</v>
      </c>
      <c r="B557" s="1" t="s">
        <v>59</v>
      </c>
      <c r="C557" s="1" t="s">
        <v>179</v>
      </c>
      <c r="D557" s="1" t="n">
        <v>5</v>
      </c>
      <c r="E557" s="1" t="n">
        <v>21</v>
      </c>
      <c r="F557" s="1" t="s">
        <v>49</v>
      </c>
      <c r="G557" s="1" t="s">
        <v>49</v>
      </c>
      <c r="H557" s="1" t="n">
        <v>31</v>
      </c>
      <c r="I557" s="1" t="n">
        <v>2836.19</v>
      </c>
      <c r="J557" s="1" t="n">
        <v>300</v>
      </c>
    </row>
    <row r="558" customFormat="false" ht="15" hidden="false" customHeight="true" outlineLevel="0" collapsed="false">
      <c r="A558" s="1" t="s">
        <v>198</v>
      </c>
      <c r="B558" s="1" t="s">
        <v>61</v>
      </c>
      <c r="C558" s="1" t="s">
        <v>179</v>
      </c>
      <c r="D558" s="1" t="n">
        <v>5</v>
      </c>
      <c r="E558" s="1" t="n">
        <v>21</v>
      </c>
      <c r="F558" s="1" t="s">
        <v>43</v>
      </c>
      <c r="G558" s="1" t="s">
        <v>44</v>
      </c>
      <c r="H558" s="1" t="n">
        <v>108</v>
      </c>
      <c r="I558" s="1" t="n">
        <v>13316.4</v>
      </c>
      <c r="J558" s="1" t="n">
        <v>300</v>
      </c>
    </row>
    <row r="559" customFormat="false" ht="15" hidden="false" customHeight="true" outlineLevel="0" collapsed="false">
      <c r="A559" s="1" t="s">
        <v>198</v>
      </c>
      <c r="B559" s="1" t="s">
        <v>61</v>
      </c>
      <c r="C559" s="1" t="s">
        <v>179</v>
      </c>
      <c r="D559" s="1" t="n">
        <v>5</v>
      </c>
      <c r="E559" s="1" t="n">
        <v>21</v>
      </c>
      <c r="F559" s="1" t="s">
        <v>45</v>
      </c>
      <c r="G559" s="1" t="s">
        <v>46</v>
      </c>
      <c r="H559" s="1" t="n">
        <v>21</v>
      </c>
      <c r="I559" s="1" t="n">
        <v>2264.64</v>
      </c>
      <c r="J559" s="1" t="n">
        <v>300</v>
      </c>
    </row>
    <row r="560" customFormat="false" ht="15" hidden="false" customHeight="true" outlineLevel="0" collapsed="false">
      <c r="A560" s="1" t="s">
        <v>198</v>
      </c>
      <c r="B560" s="1" t="s">
        <v>61</v>
      </c>
      <c r="C560" s="1" t="s">
        <v>179</v>
      </c>
      <c r="D560" s="1" t="n">
        <v>5</v>
      </c>
      <c r="E560" s="1" t="n">
        <v>21</v>
      </c>
      <c r="F560" s="1" t="s">
        <v>47</v>
      </c>
      <c r="G560" s="1" t="s">
        <v>48</v>
      </c>
      <c r="H560" s="1" t="n">
        <v>36</v>
      </c>
      <c r="I560" s="1" t="n">
        <v>3494.88</v>
      </c>
      <c r="J560" s="1" t="n">
        <v>300</v>
      </c>
    </row>
    <row r="561" customFormat="false" ht="15" hidden="false" customHeight="true" outlineLevel="0" collapsed="false">
      <c r="A561" s="1" t="s">
        <v>198</v>
      </c>
      <c r="B561" s="1" t="s">
        <v>61</v>
      </c>
      <c r="C561" s="1" t="s">
        <v>179</v>
      </c>
      <c r="D561" s="1" t="n">
        <v>5</v>
      </c>
      <c r="E561" s="1" t="n">
        <v>21</v>
      </c>
      <c r="F561" s="1" t="s">
        <v>49</v>
      </c>
      <c r="G561" s="1" t="s">
        <v>49</v>
      </c>
      <c r="H561" s="1" t="n">
        <v>32</v>
      </c>
      <c r="I561" s="1" t="n">
        <v>3072.32</v>
      </c>
      <c r="J561" s="1" t="n">
        <v>300</v>
      </c>
    </row>
    <row r="562" customFormat="false" ht="15" hidden="false" customHeight="true" outlineLevel="0" collapsed="false">
      <c r="A562" s="1" t="s">
        <v>199</v>
      </c>
      <c r="B562" s="1" t="s">
        <v>41</v>
      </c>
      <c r="C562" s="1" t="s">
        <v>179</v>
      </c>
      <c r="D562" s="1" t="n">
        <v>5</v>
      </c>
      <c r="E562" s="1" t="n">
        <v>21</v>
      </c>
      <c r="F562" s="1" t="s">
        <v>43</v>
      </c>
      <c r="G562" s="1" t="s">
        <v>44</v>
      </c>
      <c r="H562" s="1" t="n">
        <v>110</v>
      </c>
      <c r="I562" s="1" t="n">
        <v>14109.7</v>
      </c>
      <c r="J562" s="1" t="n">
        <v>300</v>
      </c>
    </row>
    <row r="563" customFormat="false" ht="15" hidden="false" customHeight="true" outlineLevel="0" collapsed="false">
      <c r="A563" s="1" t="s">
        <v>199</v>
      </c>
      <c r="B563" s="1" t="s">
        <v>41</v>
      </c>
      <c r="C563" s="1" t="s">
        <v>179</v>
      </c>
      <c r="D563" s="1" t="n">
        <v>5</v>
      </c>
      <c r="E563" s="1" t="n">
        <v>21</v>
      </c>
      <c r="F563" s="1" t="s">
        <v>45</v>
      </c>
      <c r="G563" s="1" t="s">
        <v>46</v>
      </c>
      <c r="H563" s="1" t="n">
        <v>22</v>
      </c>
      <c r="I563" s="1" t="n">
        <v>2162.6</v>
      </c>
      <c r="J563" s="1" t="n">
        <v>300</v>
      </c>
    </row>
    <row r="564" customFormat="false" ht="15" hidden="false" customHeight="true" outlineLevel="0" collapsed="false">
      <c r="A564" s="1" t="s">
        <v>199</v>
      </c>
      <c r="B564" s="1" t="s">
        <v>41</v>
      </c>
      <c r="C564" s="1" t="s">
        <v>179</v>
      </c>
      <c r="D564" s="1" t="n">
        <v>5</v>
      </c>
      <c r="E564" s="1" t="n">
        <v>21</v>
      </c>
      <c r="F564" s="1" t="s">
        <v>47</v>
      </c>
      <c r="G564" s="1" t="s">
        <v>48</v>
      </c>
      <c r="H564" s="1" t="n">
        <v>34</v>
      </c>
      <c r="I564" s="1" t="n">
        <v>3084.48</v>
      </c>
      <c r="J564" s="1" t="n">
        <v>300</v>
      </c>
    </row>
    <row r="565" customFormat="false" ht="15" hidden="false" customHeight="true" outlineLevel="0" collapsed="false">
      <c r="A565" s="1" t="s">
        <v>199</v>
      </c>
      <c r="B565" s="1" t="s">
        <v>41</v>
      </c>
      <c r="C565" s="1" t="s">
        <v>179</v>
      </c>
      <c r="D565" s="1" t="n">
        <v>5</v>
      </c>
      <c r="E565" s="1" t="n">
        <v>21</v>
      </c>
      <c r="F565" s="1" t="s">
        <v>49</v>
      </c>
      <c r="G565" s="1" t="s">
        <v>49</v>
      </c>
      <c r="H565" s="1" t="n">
        <v>32</v>
      </c>
      <c r="I565" s="1" t="n">
        <v>2759.36</v>
      </c>
      <c r="J565" s="1" t="n">
        <v>300</v>
      </c>
    </row>
    <row r="566" customFormat="false" ht="15" hidden="false" customHeight="true" outlineLevel="0" collapsed="false">
      <c r="A566" s="1" t="s">
        <v>200</v>
      </c>
      <c r="B566" s="1" t="s">
        <v>51</v>
      </c>
      <c r="C566" s="1" t="s">
        <v>179</v>
      </c>
      <c r="D566" s="1" t="n">
        <v>5</v>
      </c>
      <c r="E566" s="1" t="n">
        <v>21</v>
      </c>
      <c r="F566" s="1" t="s">
        <v>43</v>
      </c>
      <c r="G566" s="1" t="s">
        <v>44</v>
      </c>
      <c r="H566" s="1" t="n">
        <v>99</v>
      </c>
      <c r="I566" s="1" t="n">
        <v>12087.9</v>
      </c>
      <c r="J566" s="1" t="n">
        <v>300</v>
      </c>
    </row>
    <row r="567" customFormat="false" ht="15" hidden="false" customHeight="true" outlineLevel="0" collapsed="false">
      <c r="A567" s="1" t="s">
        <v>200</v>
      </c>
      <c r="B567" s="1" t="s">
        <v>51</v>
      </c>
      <c r="C567" s="1" t="s">
        <v>179</v>
      </c>
      <c r="D567" s="1" t="n">
        <v>5</v>
      </c>
      <c r="E567" s="1" t="n">
        <v>21</v>
      </c>
      <c r="F567" s="1" t="s">
        <v>45</v>
      </c>
      <c r="G567" s="1" t="s">
        <v>46</v>
      </c>
      <c r="H567" s="1" t="n">
        <v>22</v>
      </c>
      <c r="I567" s="1" t="n">
        <v>2380.62</v>
      </c>
      <c r="J567" s="1" t="n">
        <v>300</v>
      </c>
    </row>
    <row r="568" customFormat="false" ht="15" hidden="false" customHeight="true" outlineLevel="0" collapsed="false">
      <c r="A568" s="1" t="s">
        <v>200</v>
      </c>
      <c r="B568" s="1" t="s">
        <v>51</v>
      </c>
      <c r="C568" s="1" t="s">
        <v>179</v>
      </c>
      <c r="D568" s="1" t="n">
        <v>5</v>
      </c>
      <c r="E568" s="1" t="n">
        <v>21</v>
      </c>
      <c r="F568" s="1" t="s">
        <v>47</v>
      </c>
      <c r="G568" s="1" t="s">
        <v>48</v>
      </c>
      <c r="H568" s="1" t="n">
        <v>34</v>
      </c>
      <c r="I568" s="1" t="n">
        <v>3402.38</v>
      </c>
      <c r="J568" s="1" t="n">
        <v>300</v>
      </c>
    </row>
    <row r="569" customFormat="false" ht="15" hidden="false" customHeight="true" outlineLevel="0" collapsed="false">
      <c r="A569" s="1" t="s">
        <v>200</v>
      </c>
      <c r="B569" s="1" t="s">
        <v>51</v>
      </c>
      <c r="C569" s="1" t="s">
        <v>179</v>
      </c>
      <c r="D569" s="1" t="n">
        <v>5</v>
      </c>
      <c r="E569" s="1" t="n">
        <v>21</v>
      </c>
      <c r="F569" s="1" t="s">
        <v>49</v>
      </c>
      <c r="G569" s="1" t="s">
        <v>49</v>
      </c>
      <c r="H569" s="1" t="n">
        <v>31</v>
      </c>
      <c r="I569" s="1" t="n">
        <v>2961.74</v>
      </c>
      <c r="J569" s="1" t="n">
        <v>300</v>
      </c>
    </row>
    <row r="570" customFormat="false" ht="15" hidden="false" customHeight="true" outlineLevel="0" collapsed="false">
      <c r="A570" s="1" t="s">
        <v>201</v>
      </c>
      <c r="B570" s="1" t="s">
        <v>53</v>
      </c>
      <c r="C570" s="1" t="s">
        <v>179</v>
      </c>
      <c r="D570" s="1" t="n">
        <v>5</v>
      </c>
      <c r="E570" s="1" t="n">
        <v>21</v>
      </c>
      <c r="F570" s="1" t="s">
        <v>43</v>
      </c>
      <c r="G570" s="1" t="s">
        <v>44</v>
      </c>
      <c r="H570" s="1" t="n">
        <v>110</v>
      </c>
      <c r="I570" s="1" t="n">
        <v>12201.2</v>
      </c>
      <c r="J570" s="1" t="n">
        <v>300</v>
      </c>
    </row>
    <row r="571" customFormat="false" ht="15" hidden="false" customHeight="true" outlineLevel="0" collapsed="false">
      <c r="A571" s="1" t="s">
        <v>201</v>
      </c>
      <c r="B571" s="1" t="s">
        <v>53</v>
      </c>
      <c r="C571" s="1" t="s">
        <v>179</v>
      </c>
      <c r="D571" s="1" t="n">
        <v>5</v>
      </c>
      <c r="E571" s="1" t="n">
        <v>21</v>
      </c>
      <c r="F571" s="1" t="s">
        <v>45</v>
      </c>
      <c r="G571" s="1" t="s">
        <v>46</v>
      </c>
      <c r="H571" s="1" t="n">
        <v>22</v>
      </c>
      <c r="I571" s="1" t="n">
        <v>2419.34</v>
      </c>
      <c r="J571" s="1" t="n">
        <v>300</v>
      </c>
    </row>
    <row r="572" customFormat="false" ht="15" hidden="false" customHeight="true" outlineLevel="0" collapsed="false">
      <c r="A572" s="1" t="s">
        <v>201</v>
      </c>
      <c r="B572" s="1" t="s">
        <v>53</v>
      </c>
      <c r="C572" s="1" t="s">
        <v>179</v>
      </c>
      <c r="D572" s="1" t="n">
        <v>5</v>
      </c>
      <c r="E572" s="1" t="n">
        <v>21</v>
      </c>
      <c r="F572" s="1" t="s">
        <v>47</v>
      </c>
      <c r="G572" s="1" t="s">
        <v>48</v>
      </c>
      <c r="H572" s="1" t="n">
        <v>29</v>
      </c>
      <c r="I572" s="1" t="n">
        <v>3058.34</v>
      </c>
      <c r="J572" s="1" t="n">
        <v>300</v>
      </c>
    </row>
    <row r="573" customFormat="false" ht="15" hidden="false" customHeight="true" outlineLevel="0" collapsed="false">
      <c r="A573" s="1" t="s">
        <v>201</v>
      </c>
      <c r="B573" s="1" t="s">
        <v>53</v>
      </c>
      <c r="C573" s="1" t="s">
        <v>179</v>
      </c>
      <c r="D573" s="1" t="n">
        <v>5</v>
      </c>
      <c r="E573" s="1" t="n">
        <v>21</v>
      </c>
      <c r="F573" s="1" t="s">
        <v>49</v>
      </c>
      <c r="G573" s="1" t="s">
        <v>49</v>
      </c>
      <c r="H573" s="1" t="n">
        <v>31</v>
      </c>
      <c r="I573" s="1" t="n">
        <v>2820.69</v>
      </c>
      <c r="J573" s="1" t="n">
        <v>300</v>
      </c>
    </row>
    <row r="574" customFormat="false" ht="15" hidden="false" customHeight="true" outlineLevel="0" collapsed="false">
      <c r="A574" s="1" t="s">
        <v>202</v>
      </c>
      <c r="B574" s="1" t="s">
        <v>55</v>
      </c>
      <c r="C574" s="1" t="s">
        <v>179</v>
      </c>
      <c r="D574" s="1" t="n">
        <v>5</v>
      </c>
      <c r="E574" s="1" t="n">
        <v>21</v>
      </c>
      <c r="F574" s="1" t="s">
        <v>43</v>
      </c>
      <c r="G574" s="1" t="s">
        <v>44</v>
      </c>
      <c r="H574" s="1" t="n">
        <v>19</v>
      </c>
      <c r="I574" s="1" t="n">
        <v>2277.15</v>
      </c>
      <c r="J574" s="1" t="n">
        <v>300</v>
      </c>
    </row>
    <row r="575" customFormat="false" ht="15" hidden="false" customHeight="true" outlineLevel="0" collapsed="false">
      <c r="A575" s="1" t="s">
        <v>202</v>
      </c>
      <c r="B575" s="1" t="s">
        <v>55</v>
      </c>
      <c r="C575" s="1" t="s">
        <v>179</v>
      </c>
      <c r="D575" s="1" t="n">
        <v>5</v>
      </c>
      <c r="E575" s="1" t="n">
        <v>21</v>
      </c>
      <c r="F575" s="1" t="s">
        <v>45</v>
      </c>
      <c r="G575" s="1" t="s">
        <v>46</v>
      </c>
      <c r="H575" s="1" t="n">
        <v>52</v>
      </c>
      <c r="I575" s="1" t="n">
        <v>5013.84</v>
      </c>
      <c r="J575" s="1" t="n">
        <v>300</v>
      </c>
    </row>
    <row r="576" customFormat="false" ht="15" hidden="false" customHeight="true" outlineLevel="0" collapsed="false">
      <c r="A576" s="1" t="s">
        <v>202</v>
      </c>
      <c r="B576" s="1" t="s">
        <v>55</v>
      </c>
      <c r="C576" s="1" t="s">
        <v>179</v>
      </c>
      <c r="D576" s="1" t="n">
        <v>5</v>
      </c>
      <c r="E576" s="1" t="n">
        <v>21</v>
      </c>
      <c r="F576" s="1" t="s">
        <v>47</v>
      </c>
      <c r="G576" s="1" t="s">
        <v>48</v>
      </c>
      <c r="H576" s="1" t="n">
        <v>18</v>
      </c>
      <c r="I576" s="1" t="n">
        <v>1664.46</v>
      </c>
      <c r="J576" s="1" t="n">
        <v>300</v>
      </c>
    </row>
    <row r="577" customFormat="false" ht="15" hidden="false" customHeight="true" outlineLevel="0" collapsed="false">
      <c r="A577" s="1" t="s">
        <v>202</v>
      </c>
      <c r="B577" s="1" t="s">
        <v>55</v>
      </c>
      <c r="C577" s="1" t="s">
        <v>179</v>
      </c>
      <c r="D577" s="1" t="n">
        <v>5</v>
      </c>
      <c r="E577" s="1" t="n">
        <v>21</v>
      </c>
      <c r="F577" s="1" t="s">
        <v>49</v>
      </c>
      <c r="G577" s="1" t="s">
        <v>49</v>
      </c>
      <c r="H577" s="1" t="n">
        <v>36</v>
      </c>
      <c r="I577" s="1" t="n">
        <v>2831.04</v>
      </c>
      <c r="J577" s="1" t="n">
        <v>300</v>
      </c>
    </row>
    <row r="578" customFormat="false" ht="15" hidden="false" customHeight="true" outlineLevel="0" collapsed="false">
      <c r="A578" s="1" t="s">
        <v>203</v>
      </c>
      <c r="B578" s="1" t="s">
        <v>57</v>
      </c>
      <c r="C578" s="1" t="s">
        <v>179</v>
      </c>
      <c r="D578" s="1" t="n">
        <v>5</v>
      </c>
      <c r="E578" s="1" t="n">
        <v>21</v>
      </c>
      <c r="F578" s="1" t="s">
        <v>43</v>
      </c>
      <c r="G578" s="1" t="s">
        <v>44</v>
      </c>
      <c r="H578" s="1" t="n">
        <v>18</v>
      </c>
      <c r="I578" s="1" t="n">
        <v>1984.14</v>
      </c>
      <c r="J578" s="1" t="n">
        <v>300</v>
      </c>
    </row>
    <row r="579" customFormat="false" ht="15" hidden="false" customHeight="true" outlineLevel="0" collapsed="false">
      <c r="A579" s="1" t="s">
        <v>203</v>
      </c>
      <c r="B579" s="1" t="s">
        <v>57</v>
      </c>
      <c r="C579" s="1" t="s">
        <v>179</v>
      </c>
      <c r="D579" s="1" t="n">
        <v>5</v>
      </c>
      <c r="E579" s="1" t="n">
        <v>21</v>
      </c>
      <c r="F579" s="1" t="s">
        <v>45</v>
      </c>
      <c r="G579" s="1" t="s">
        <v>46</v>
      </c>
      <c r="H579" s="1" t="n">
        <v>66</v>
      </c>
      <c r="I579" s="1" t="n">
        <v>7387.38</v>
      </c>
      <c r="J579" s="1" t="n">
        <v>300</v>
      </c>
    </row>
    <row r="580" customFormat="false" ht="15" hidden="false" customHeight="true" outlineLevel="0" collapsed="false">
      <c r="A580" s="1" t="s">
        <v>203</v>
      </c>
      <c r="B580" s="1" t="s">
        <v>57</v>
      </c>
      <c r="C580" s="1" t="s">
        <v>179</v>
      </c>
      <c r="D580" s="1" t="n">
        <v>5</v>
      </c>
      <c r="E580" s="1" t="n">
        <v>21</v>
      </c>
      <c r="F580" s="1" t="s">
        <v>47</v>
      </c>
      <c r="G580" s="1" t="s">
        <v>48</v>
      </c>
      <c r="H580" s="1" t="n">
        <v>15</v>
      </c>
      <c r="I580" s="1" t="n">
        <v>1658.7</v>
      </c>
      <c r="J580" s="1" t="n">
        <v>300</v>
      </c>
    </row>
    <row r="581" customFormat="false" ht="15" hidden="false" customHeight="true" outlineLevel="0" collapsed="false">
      <c r="A581" s="1" t="s">
        <v>203</v>
      </c>
      <c r="B581" s="1" t="s">
        <v>57</v>
      </c>
      <c r="C581" s="1" t="s">
        <v>179</v>
      </c>
      <c r="D581" s="1" t="n">
        <v>5</v>
      </c>
      <c r="E581" s="1" t="n">
        <v>21</v>
      </c>
      <c r="F581" s="1" t="s">
        <v>49</v>
      </c>
      <c r="G581" s="1" t="s">
        <v>49</v>
      </c>
      <c r="H581" s="1" t="n">
        <v>43</v>
      </c>
      <c r="I581" s="1" t="n">
        <v>3807.65</v>
      </c>
      <c r="J581" s="1" t="n">
        <v>300</v>
      </c>
    </row>
    <row r="582" customFormat="false" ht="15" hidden="false" customHeight="true" outlineLevel="0" collapsed="false">
      <c r="A582" s="1" t="s">
        <v>204</v>
      </c>
      <c r="B582" s="1" t="s">
        <v>59</v>
      </c>
      <c r="C582" s="1" t="s">
        <v>179</v>
      </c>
      <c r="D582" s="1" t="n">
        <v>5</v>
      </c>
      <c r="E582" s="1" t="n">
        <v>22</v>
      </c>
      <c r="F582" s="1" t="s">
        <v>43</v>
      </c>
      <c r="G582" s="1" t="s">
        <v>44</v>
      </c>
      <c r="H582" s="1" t="n">
        <v>77</v>
      </c>
      <c r="I582" s="1" t="n">
        <v>10487.4</v>
      </c>
      <c r="J582" s="1" t="n">
        <v>300</v>
      </c>
    </row>
    <row r="583" customFormat="false" ht="15" hidden="false" customHeight="true" outlineLevel="0" collapsed="false">
      <c r="A583" s="1" t="s">
        <v>204</v>
      </c>
      <c r="B583" s="1" t="s">
        <v>59</v>
      </c>
      <c r="C583" s="1" t="s">
        <v>179</v>
      </c>
      <c r="D583" s="1" t="n">
        <v>5</v>
      </c>
      <c r="E583" s="1" t="n">
        <v>22</v>
      </c>
      <c r="F583" s="1" t="s">
        <v>45</v>
      </c>
      <c r="G583" s="1" t="s">
        <v>46</v>
      </c>
      <c r="H583" s="1" t="n">
        <v>18</v>
      </c>
      <c r="I583" s="1" t="n">
        <v>1711.98</v>
      </c>
      <c r="J583" s="1" t="n">
        <v>300</v>
      </c>
    </row>
    <row r="584" customFormat="false" ht="15" hidden="false" customHeight="true" outlineLevel="0" collapsed="false">
      <c r="A584" s="1" t="s">
        <v>204</v>
      </c>
      <c r="B584" s="1" t="s">
        <v>59</v>
      </c>
      <c r="C584" s="1" t="s">
        <v>179</v>
      </c>
      <c r="D584" s="1" t="n">
        <v>5</v>
      </c>
      <c r="E584" s="1" t="n">
        <v>22</v>
      </c>
      <c r="F584" s="1" t="s">
        <v>47</v>
      </c>
      <c r="G584" s="1" t="s">
        <v>48</v>
      </c>
      <c r="H584" s="1" t="n">
        <v>32</v>
      </c>
      <c r="I584" s="1" t="n">
        <v>3573.76</v>
      </c>
      <c r="J584" s="1" t="n">
        <v>300</v>
      </c>
    </row>
    <row r="585" customFormat="false" ht="15" hidden="false" customHeight="true" outlineLevel="0" collapsed="false">
      <c r="A585" s="1" t="s">
        <v>204</v>
      </c>
      <c r="B585" s="1" t="s">
        <v>59</v>
      </c>
      <c r="C585" s="1" t="s">
        <v>179</v>
      </c>
      <c r="D585" s="1" t="n">
        <v>5</v>
      </c>
      <c r="E585" s="1" t="n">
        <v>22</v>
      </c>
      <c r="F585" s="1" t="s">
        <v>49</v>
      </c>
      <c r="G585" s="1" t="s">
        <v>49</v>
      </c>
      <c r="H585" s="1" t="n">
        <v>35</v>
      </c>
      <c r="I585" s="1" t="n">
        <v>3267.95</v>
      </c>
      <c r="J585" s="1" t="n">
        <v>300</v>
      </c>
    </row>
    <row r="586" customFormat="false" ht="15" hidden="false" customHeight="true" outlineLevel="0" collapsed="false">
      <c r="A586" s="1" t="s">
        <v>205</v>
      </c>
      <c r="B586" s="1" t="s">
        <v>61</v>
      </c>
      <c r="C586" s="1" t="s">
        <v>179</v>
      </c>
      <c r="D586" s="1" t="n">
        <v>5</v>
      </c>
      <c r="E586" s="1" t="n">
        <v>22</v>
      </c>
      <c r="F586" s="1" t="s">
        <v>43</v>
      </c>
      <c r="G586" s="1" t="s">
        <v>44</v>
      </c>
      <c r="H586" s="1" t="n">
        <v>105</v>
      </c>
      <c r="I586" s="1" t="n">
        <v>13216.35</v>
      </c>
      <c r="J586" s="1" t="n">
        <v>300</v>
      </c>
    </row>
    <row r="587" customFormat="false" ht="15" hidden="false" customHeight="true" outlineLevel="0" collapsed="false">
      <c r="A587" s="1" t="s">
        <v>205</v>
      </c>
      <c r="B587" s="1" t="s">
        <v>61</v>
      </c>
      <c r="C587" s="1" t="s">
        <v>179</v>
      </c>
      <c r="D587" s="1" t="n">
        <v>5</v>
      </c>
      <c r="E587" s="1" t="n">
        <v>22</v>
      </c>
      <c r="F587" s="1" t="s">
        <v>45</v>
      </c>
      <c r="G587" s="1" t="s">
        <v>46</v>
      </c>
      <c r="H587" s="1" t="n">
        <v>22</v>
      </c>
      <c r="I587" s="1" t="n">
        <v>2360.82</v>
      </c>
      <c r="J587" s="1" t="n">
        <v>300</v>
      </c>
    </row>
    <row r="588" customFormat="false" ht="15" hidden="false" customHeight="true" outlineLevel="0" collapsed="false">
      <c r="A588" s="1" t="s">
        <v>205</v>
      </c>
      <c r="B588" s="1" t="s">
        <v>61</v>
      </c>
      <c r="C588" s="1" t="s">
        <v>179</v>
      </c>
      <c r="D588" s="1" t="n">
        <v>5</v>
      </c>
      <c r="E588" s="1" t="n">
        <v>22</v>
      </c>
      <c r="F588" s="1" t="s">
        <v>47</v>
      </c>
      <c r="G588" s="1" t="s">
        <v>48</v>
      </c>
      <c r="H588" s="1" t="n">
        <v>30</v>
      </c>
      <c r="I588" s="1" t="n">
        <v>2911.5</v>
      </c>
      <c r="J588" s="1" t="n">
        <v>300</v>
      </c>
    </row>
    <row r="589" customFormat="false" ht="15" hidden="false" customHeight="true" outlineLevel="0" collapsed="false">
      <c r="A589" s="1" t="s">
        <v>205</v>
      </c>
      <c r="B589" s="1" t="s">
        <v>61</v>
      </c>
      <c r="C589" s="1" t="s">
        <v>179</v>
      </c>
      <c r="D589" s="1" t="n">
        <v>5</v>
      </c>
      <c r="E589" s="1" t="n">
        <v>22</v>
      </c>
      <c r="F589" s="1" t="s">
        <v>49</v>
      </c>
      <c r="G589" s="1" t="s">
        <v>49</v>
      </c>
      <c r="H589" s="1" t="n">
        <v>29</v>
      </c>
      <c r="I589" s="1" t="n">
        <v>2574.91</v>
      </c>
      <c r="J589" s="1" t="n">
        <v>300</v>
      </c>
    </row>
    <row r="590" customFormat="false" ht="15" hidden="false" customHeight="true" outlineLevel="0" collapsed="false">
      <c r="A590" s="1" t="s">
        <v>206</v>
      </c>
      <c r="B590" s="1" t="s">
        <v>41</v>
      </c>
      <c r="C590" s="1" t="s">
        <v>179</v>
      </c>
      <c r="D590" s="1" t="n">
        <v>5</v>
      </c>
      <c r="E590" s="1" t="n">
        <v>22</v>
      </c>
      <c r="F590" s="1" t="s">
        <v>43</v>
      </c>
      <c r="G590" s="1" t="s">
        <v>44</v>
      </c>
      <c r="H590" s="1" t="n">
        <v>85</v>
      </c>
      <c r="I590" s="1" t="n">
        <v>10117.55</v>
      </c>
      <c r="J590" s="1" t="n">
        <v>300</v>
      </c>
    </row>
    <row r="591" customFormat="false" ht="15" hidden="false" customHeight="true" outlineLevel="0" collapsed="false">
      <c r="A591" s="1" t="s">
        <v>206</v>
      </c>
      <c r="B591" s="1" t="s">
        <v>41</v>
      </c>
      <c r="C591" s="1" t="s">
        <v>179</v>
      </c>
      <c r="D591" s="1" t="n">
        <v>5</v>
      </c>
      <c r="E591" s="1" t="n">
        <v>22</v>
      </c>
      <c r="F591" s="1" t="s">
        <v>45</v>
      </c>
      <c r="G591" s="1" t="s">
        <v>46</v>
      </c>
      <c r="H591" s="1" t="n">
        <v>19</v>
      </c>
      <c r="I591" s="1" t="n">
        <v>1872.45</v>
      </c>
      <c r="J591" s="1" t="n">
        <v>300</v>
      </c>
    </row>
    <row r="592" customFormat="false" ht="15" hidden="false" customHeight="true" outlineLevel="0" collapsed="false">
      <c r="A592" s="1" t="s">
        <v>206</v>
      </c>
      <c r="B592" s="1" t="s">
        <v>41</v>
      </c>
      <c r="C592" s="1" t="s">
        <v>179</v>
      </c>
      <c r="D592" s="1" t="n">
        <v>5</v>
      </c>
      <c r="E592" s="1" t="n">
        <v>22</v>
      </c>
      <c r="F592" s="1" t="s">
        <v>47</v>
      </c>
      <c r="G592" s="1" t="s">
        <v>48</v>
      </c>
      <c r="H592" s="1" t="n">
        <v>30</v>
      </c>
      <c r="I592" s="1" t="n">
        <v>3166.5</v>
      </c>
      <c r="J592" s="1" t="n">
        <v>300</v>
      </c>
    </row>
    <row r="593" customFormat="false" ht="15" hidden="false" customHeight="true" outlineLevel="0" collapsed="false">
      <c r="A593" s="1" t="s">
        <v>206</v>
      </c>
      <c r="B593" s="1" t="s">
        <v>41</v>
      </c>
      <c r="C593" s="1" t="s">
        <v>179</v>
      </c>
      <c r="D593" s="1" t="n">
        <v>5</v>
      </c>
      <c r="E593" s="1" t="n">
        <v>22</v>
      </c>
      <c r="F593" s="1" t="s">
        <v>49</v>
      </c>
      <c r="G593" s="1" t="s">
        <v>49</v>
      </c>
      <c r="H593" s="1" t="n">
        <v>34</v>
      </c>
      <c r="I593" s="1" t="n">
        <v>2781.2</v>
      </c>
      <c r="J593" s="1" t="n">
        <v>300</v>
      </c>
    </row>
    <row r="594" customFormat="false" ht="15" hidden="false" customHeight="true" outlineLevel="0" collapsed="false">
      <c r="A594" s="1" t="s">
        <v>207</v>
      </c>
      <c r="B594" s="1" t="s">
        <v>51</v>
      </c>
      <c r="C594" s="1" t="s">
        <v>179</v>
      </c>
      <c r="D594" s="1" t="n">
        <v>5</v>
      </c>
      <c r="E594" s="1" t="n">
        <v>22</v>
      </c>
      <c r="F594" s="1" t="s">
        <v>43</v>
      </c>
      <c r="G594" s="1" t="s">
        <v>44</v>
      </c>
      <c r="H594" s="1" t="n">
        <v>91</v>
      </c>
      <c r="I594" s="1" t="n">
        <v>11511.5</v>
      </c>
      <c r="J594" s="1" t="n">
        <v>300</v>
      </c>
    </row>
    <row r="595" customFormat="false" ht="15" hidden="false" customHeight="true" outlineLevel="0" collapsed="false">
      <c r="A595" s="1" t="s">
        <v>207</v>
      </c>
      <c r="B595" s="1" t="s">
        <v>51</v>
      </c>
      <c r="C595" s="1" t="s">
        <v>179</v>
      </c>
      <c r="D595" s="1" t="n">
        <v>5</v>
      </c>
      <c r="E595" s="1" t="n">
        <v>22</v>
      </c>
      <c r="F595" s="1" t="s">
        <v>45</v>
      </c>
      <c r="G595" s="1" t="s">
        <v>46</v>
      </c>
      <c r="H595" s="1" t="n">
        <v>19</v>
      </c>
      <c r="I595" s="1" t="n">
        <v>1978.09</v>
      </c>
      <c r="J595" s="1" t="n">
        <v>300</v>
      </c>
    </row>
    <row r="596" customFormat="false" ht="15" hidden="false" customHeight="true" outlineLevel="0" collapsed="false">
      <c r="A596" s="1" t="s">
        <v>207</v>
      </c>
      <c r="B596" s="1" t="s">
        <v>51</v>
      </c>
      <c r="C596" s="1" t="s">
        <v>179</v>
      </c>
      <c r="D596" s="1" t="n">
        <v>5</v>
      </c>
      <c r="E596" s="1" t="n">
        <v>22</v>
      </c>
      <c r="F596" s="1" t="s">
        <v>47</v>
      </c>
      <c r="G596" s="1" t="s">
        <v>48</v>
      </c>
      <c r="H596" s="1" t="n">
        <v>31</v>
      </c>
      <c r="I596" s="1" t="n">
        <v>2844.56</v>
      </c>
      <c r="J596" s="1" t="n">
        <v>300</v>
      </c>
    </row>
    <row r="597" customFormat="false" ht="15" hidden="false" customHeight="true" outlineLevel="0" collapsed="false">
      <c r="A597" s="1" t="s">
        <v>207</v>
      </c>
      <c r="B597" s="1" t="s">
        <v>51</v>
      </c>
      <c r="C597" s="1" t="s">
        <v>179</v>
      </c>
      <c r="D597" s="1" t="n">
        <v>5</v>
      </c>
      <c r="E597" s="1" t="n">
        <v>22</v>
      </c>
      <c r="F597" s="1" t="s">
        <v>49</v>
      </c>
      <c r="G597" s="1" t="s">
        <v>49</v>
      </c>
      <c r="H597" s="1" t="n">
        <v>32</v>
      </c>
      <c r="I597" s="1" t="n">
        <v>2658.56</v>
      </c>
      <c r="J597" s="1" t="n">
        <v>300</v>
      </c>
    </row>
    <row r="598" customFormat="false" ht="15" hidden="false" customHeight="true" outlineLevel="0" collapsed="false">
      <c r="A598" s="1" t="s">
        <v>208</v>
      </c>
      <c r="B598" s="1" t="s">
        <v>53</v>
      </c>
      <c r="C598" s="1" t="s">
        <v>179</v>
      </c>
      <c r="D598" s="1" t="n">
        <v>5</v>
      </c>
      <c r="E598" s="1" t="n">
        <v>22</v>
      </c>
      <c r="F598" s="1" t="s">
        <v>43</v>
      </c>
      <c r="G598" s="1" t="s">
        <v>44</v>
      </c>
      <c r="H598" s="1" t="n">
        <v>94</v>
      </c>
      <c r="I598" s="1" t="n">
        <v>11471.76</v>
      </c>
      <c r="J598" s="1" t="n">
        <v>300</v>
      </c>
    </row>
    <row r="599" customFormat="false" ht="15" hidden="false" customHeight="true" outlineLevel="0" collapsed="false">
      <c r="A599" s="1" t="s">
        <v>208</v>
      </c>
      <c r="B599" s="1" t="s">
        <v>53</v>
      </c>
      <c r="C599" s="1" t="s">
        <v>179</v>
      </c>
      <c r="D599" s="1" t="n">
        <v>5</v>
      </c>
      <c r="E599" s="1" t="n">
        <v>22</v>
      </c>
      <c r="F599" s="1" t="s">
        <v>45</v>
      </c>
      <c r="G599" s="1" t="s">
        <v>46</v>
      </c>
      <c r="H599" s="1" t="n">
        <v>18</v>
      </c>
      <c r="I599" s="1" t="n">
        <v>1949.76</v>
      </c>
      <c r="J599" s="1" t="n">
        <v>300</v>
      </c>
    </row>
    <row r="600" customFormat="false" ht="15" hidden="false" customHeight="true" outlineLevel="0" collapsed="false">
      <c r="A600" s="1" t="s">
        <v>208</v>
      </c>
      <c r="B600" s="1" t="s">
        <v>53</v>
      </c>
      <c r="C600" s="1" t="s">
        <v>179</v>
      </c>
      <c r="D600" s="1" t="n">
        <v>5</v>
      </c>
      <c r="E600" s="1" t="n">
        <v>22</v>
      </c>
      <c r="F600" s="1" t="s">
        <v>47</v>
      </c>
      <c r="G600" s="1" t="s">
        <v>48</v>
      </c>
      <c r="H600" s="1" t="n">
        <v>29</v>
      </c>
      <c r="I600" s="1" t="n">
        <v>2918.56</v>
      </c>
      <c r="J600" s="1" t="n">
        <v>300</v>
      </c>
    </row>
    <row r="601" customFormat="false" ht="15" hidden="false" customHeight="true" outlineLevel="0" collapsed="false">
      <c r="A601" s="1" t="s">
        <v>208</v>
      </c>
      <c r="B601" s="1" t="s">
        <v>53</v>
      </c>
      <c r="C601" s="1" t="s">
        <v>179</v>
      </c>
      <c r="D601" s="1" t="n">
        <v>5</v>
      </c>
      <c r="E601" s="1" t="n">
        <v>22</v>
      </c>
      <c r="F601" s="1" t="s">
        <v>49</v>
      </c>
      <c r="G601" s="1" t="s">
        <v>49</v>
      </c>
      <c r="H601" s="1" t="n">
        <v>32</v>
      </c>
      <c r="I601" s="1" t="n">
        <v>3126.4</v>
      </c>
      <c r="J601" s="1" t="n">
        <v>300</v>
      </c>
    </row>
    <row r="602" customFormat="false" ht="15" hidden="false" customHeight="true" outlineLevel="0" collapsed="false">
      <c r="A602" s="1" t="s">
        <v>209</v>
      </c>
      <c r="B602" s="1" t="s">
        <v>55</v>
      </c>
      <c r="C602" s="1" t="s">
        <v>179</v>
      </c>
      <c r="D602" s="1" t="n">
        <v>5</v>
      </c>
      <c r="E602" s="1" t="n">
        <v>22</v>
      </c>
      <c r="F602" s="1" t="s">
        <v>43</v>
      </c>
      <c r="G602" s="1" t="s">
        <v>44</v>
      </c>
      <c r="H602" s="1" t="n">
        <v>19</v>
      </c>
      <c r="I602" s="1" t="n">
        <v>2216.35</v>
      </c>
      <c r="J602" s="1" t="n">
        <v>300</v>
      </c>
    </row>
    <row r="603" customFormat="false" ht="15" hidden="false" customHeight="true" outlineLevel="0" collapsed="false">
      <c r="A603" s="1" t="s">
        <v>209</v>
      </c>
      <c r="B603" s="1" t="s">
        <v>55</v>
      </c>
      <c r="C603" s="1" t="s">
        <v>179</v>
      </c>
      <c r="D603" s="1" t="n">
        <v>5</v>
      </c>
      <c r="E603" s="1" t="n">
        <v>22</v>
      </c>
      <c r="F603" s="1" t="s">
        <v>45</v>
      </c>
      <c r="G603" s="1" t="s">
        <v>46</v>
      </c>
      <c r="H603" s="1" t="n">
        <v>58</v>
      </c>
      <c r="I603" s="1" t="n">
        <v>6320.26</v>
      </c>
      <c r="J603" s="1" t="n">
        <v>300</v>
      </c>
    </row>
    <row r="604" customFormat="false" ht="15" hidden="false" customHeight="true" outlineLevel="0" collapsed="false">
      <c r="A604" s="1" t="s">
        <v>209</v>
      </c>
      <c r="B604" s="1" t="s">
        <v>55</v>
      </c>
      <c r="C604" s="1" t="s">
        <v>179</v>
      </c>
      <c r="D604" s="1" t="n">
        <v>5</v>
      </c>
      <c r="E604" s="1" t="n">
        <v>22</v>
      </c>
      <c r="F604" s="1" t="s">
        <v>47</v>
      </c>
      <c r="G604" s="1" t="s">
        <v>48</v>
      </c>
      <c r="H604" s="1" t="n">
        <v>16</v>
      </c>
      <c r="I604" s="1" t="n">
        <v>1562.4</v>
      </c>
      <c r="J604" s="1" t="n">
        <v>300</v>
      </c>
    </row>
    <row r="605" customFormat="false" ht="15" hidden="false" customHeight="true" outlineLevel="0" collapsed="false">
      <c r="A605" s="1" t="s">
        <v>209</v>
      </c>
      <c r="B605" s="1" t="s">
        <v>55</v>
      </c>
      <c r="C605" s="1" t="s">
        <v>179</v>
      </c>
      <c r="D605" s="1" t="n">
        <v>5</v>
      </c>
      <c r="E605" s="1" t="n">
        <v>22</v>
      </c>
      <c r="F605" s="1" t="s">
        <v>49</v>
      </c>
      <c r="G605" s="1" t="s">
        <v>49</v>
      </c>
      <c r="H605" s="1" t="n">
        <v>37</v>
      </c>
      <c r="I605" s="1" t="n">
        <v>3208.64</v>
      </c>
      <c r="J605" s="1" t="n">
        <v>300</v>
      </c>
    </row>
    <row r="606" customFormat="false" ht="15" hidden="false" customHeight="true" outlineLevel="0" collapsed="false">
      <c r="A606" s="1" t="s">
        <v>210</v>
      </c>
      <c r="B606" s="1" t="s">
        <v>57</v>
      </c>
      <c r="C606" s="1" t="s">
        <v>211</v>
      </c>
      <c r="D606" s="1" t="n">
        <v>6</v>
      </c>
      <c r="E606" s="1" t="n">
        <v>22</v>
      </c>
      <c r="F606" s="1" t="s">
        <v>43</v>
      </c>
      <c r="G606" s="1" t="s">
        <v>44</v>
      </c>
      <c r="H606" s="1" t="n">
        <v>17</v>
      </c>
      <c r="I606" s="1" t="n">
        <v>2268.31</v>
      </c>
      <c r="J606" s="1" t="n">
        <v>300</v>
      </c>
    </row>
    <row r="607" customFormat="false" ht="15" hidden="false" customHeight="true" outlineLevel="0" collapsed="false">
      <c r="A607" s="1" t="s">
        <v>210</v>
      </c>
      <c r="B607" s="1" t="s">
        <v>57</v>
      </c>
      <c r="C607" s="1" t="s">
        <v>211</v>
      </c>
      <c r="D607" s="1" t="n">
        <v>6</v>
      </c>
      <c r="E607" s="1" t="n">
        <v>22</v>
      </c>
      <c r="F607" s="1" t="s">
        <v>45</v>
      </c>
      <c r="G607" s="1" t="s">
        <v>46</v>
      </c>
      <c r="H607" s="1" t="n">
        <v>53</v>
      </c>
      <c r="I607" s="1" t="n">
        <v>5406</v>
      </c>
      <c r="J607" s="1" t="n">
        <v>300</v>
      </c>
    </row>
    <row r="608" customFormat="false" ht="15" hidden="false" customHeight="true" outlineLevel="0" collapsed="false">
      <c r="A608" s="1" t="s">
        <v>210</v>
      </c>
      <c r="B608" s="1" t="s">
        <v>57</v>
      </c>
      <c r="C608" s="1" t="s">
        <v>211</v>
      </c>
      <c r="D608" s="1" t="n">
        <v>6</v>
      </c>
      <c r="E608" s="1" t="n">
        <v>22</v>
      </c>
      <c r="F608" s="1" t="s">
        <v>47</v>
      </c>
      <c r="G608" s="1" t="s">
        <v>48</v>
      </c>
      <c r="H608" s="1" t="n">
        <v>15</v>
      </c>
      <c r="I608" s="1" t="n">
        <v>1552.8</v>
      </c>
      <c r="J608" s="1" t="n">
        <v>300</v>
      </c>
    </row>
    <row r="609" customFormat="false" ht="15" hidden="false" customHeight="true" outlineLevel="0" collapsed="false">
      <c r="A609" s="1" t="s">
        <v>210</v>
      </c>
      <c r="B609" s="1" t="s">
        <v>57</v>
      </c>
      <c r="C609" s="1" t="s">
        <v>211</v>
      </c>
      <c r="D609" s="1" t="n">
        <v>6</v>
      </c>
      <c r="E609" s="1" t="n">
        <v>22</v>
      </c>
      <c r="F609" s="1" t="s">
        <v>49</v>
      </c>
      <c r="G609" s="1" t="s">
        <v>49</v>
      </c>
      <c r="H609" s="1" t="n">
        <v>40</v>
      </c>
      <c r="I609" s="1" t="n">
        <v>3916</v>
      </c>
      <c r="J609" s="1" t="n">
        <v>300</v>
      </c>
    </row>
    <row r="610" customFormat="false" ht="15" hidden="false" customHeight="true" outlineLevel="0" collapsed="false">
      <c r="A610" s="1" t="s">
        <v>212</v>
      </c>
      <c r="B610" s="1" t="s">
        <v>59</v>
      </c>
      <c r="C610" s="1" t="s">
        <v>211</v>
      </c>
      <c r="D610" s="1" t="n">
        <v>6</v>
      </c>
      <c r="E610" s="1" t="n">
        <v>23</v>
      </c>
      <c r="F610" s="1" t="s">
        <v>43</v>
      </c>
      <c r="G610" s="1" t="s">
        <v>44</v>
      </c>
      <c r="H610" s="1" t="n">
        <v>96</v>
      </c>
      <c r="I610" s="1" t="n">
        <v>11786.88</v>
      </c>
      <c r="J610" s="1" t="n">
        <v>300</v>
      </c>
    </row>
    <row r="611" customFormat="false" ht="15" hidden="false" customHeight="true" outlineLevel="0" collapsed="false">
      <c r="A611" s="1" t="s">
        <v>212</v>
      </c>
      <c r="B611" s="1" t="s">
        <v>59</v>
      </c>
      <c r="C611" s="1" t="s">
        <v>211</v>
      </c>
      <c r="D611" s="1" t="n">
        <v>6</v>
      </c>
      <c r="E611" s="1" t="n">
        <v>23</v>
      </c>
      <c r="F611" s="1" t="s">
        <v>45</v>
      </c>
      <c r="G611" s="1" t="s">
        <v>46</v>
      </c>
      <c r="H611" s="1" t="n">
        <v>20</v>
      </c>
      <c r="I611" s="1" t="n">
        <v>2402.6</v>
      </c>
      <c r="J611" s="1" t="n">
        <v>300</v>
      </c>
    </row>
    <row r="612" customFormat="false" ht="15" hidden="false" customHeight="true" outlineLevel="0" collapsed="false">
      <c r="A612" s="1" t="s">
        <v>212</v>
      </c>
      <c r="B612" s="1" t="s">
        <v>59</v>
      </c>
      <c r="C612" s="1" t="s">
        <v>211</v>
      </c>
      <c r="D612" s="1" t="n">
        <v>6</v>
      </c>
      <c r="E612" s="1" t="n">
        <v>23</v>
      </c>
      <c r="F612" s="1" t="s">
        <v>47</v>
      </c>
      <c r="G612" s="1" t="s">
        <v>48</v>
      </c>
      <c r="H612" s="1" t="n">
        <v>27</v>
      </c>
      <c r="I612" s="1" t="n">
        <v>2701.89</v>
      </c>
      <c r="J612" s="1" t="n">
        <v>300</v>
      </c>
    </row>
    <row r="613" customFormat="false" ht="15" hidden="false" customHeight="true" outlineLevel="0" collapsed="false">
      <c r="A613" s="1" t="s">
        <v>212</v>
      </c>
      <c r="B613" s="1" t="s">
        <v>59</v>
      </c>
      <c r="C613" s="1" t="s">
        <v>211</v>
      </c>
      <c r="D613" s="1" t="n">
        <v>6</v>
      </c>
      <c r="E613" s="1" t="n">
        <v>23</v>
      </c>
      <c r="F613" s="1" t="s">
        <v>49</v>
      </c>
      <c r="G613" s="1" t="s">
        <v>49</v>
      </c>
      <c r="H613" s="1" t="n">
        <v>34</v>
      </c>
      <c r="I613" s="1" t="n">
        <v>3173.56</v>
      </c>
      <c r="J613" s="1" t="n">
        <v>300</v>
      </c>
    </row>
    <row r="614" customFormat="false" ht="15" hidden="false" customHeight="true" outlineLevel="0" collapsed="false">
      <c r="A614" s="1" t="s">
        <v>213</v>
      </c>
      <c r="B614" s="1" t="s">
        <v>61</v>
      </c>
      <c r="C614" s="1" t="s">
        <v>211</v>
      </c>
      <c r="D614" s="1" t="n">
        <v>6</v>
      </c>
      <c r="E614" s="1" t="n">
        <v>23</v>
      </c>
      <c r="F614" s="1" t="s">
        <v>43</v>
      </c>
      <c r="G614" s="1" t="s">
        <v>44</v>
      </c>
      <c r="H614" s="1" t="n">
        <v>101</v>
      </c>
      <c r="I614" s="1" t="n">
        <v>12101.82</v>
      </c>
      <c r="J614" s="1" t="n">
        <v>300</v>
      </c>
    </row>
    <row r="615" customFormat="false" ht="15" hidden="false" customHeight="true" outlineLevel="0" collapsed="false">
      <c r="A615" s="1" t="s">
        <v>213</v>
      </c>
      <c r="B615" s="1" t="s">
        <v>61</v>
      </c>
      <c r="C615" s="1" t="s">
        <v>211</v>
      </c>
      <c r="D615" s="1" t="n">
        <v>6</v>
      </c>
      <c r="E615" s="1" t="n">
        <v>23</v>
      </c>
      <c r="F615" s="1" t="s">
        <v>45</v>
      </c>
      <c r="G615" s="1" t="s">
        <v>46</v>
      </c>
      <c r="H615" s="1" t="n">
        <v>22</v>
      </c>
      <c r="I615" s="1" t="n">
        <v>2320.78</v>
      </c>
      <c r="J615" s="1" t="n">
        <v>300</v>
      </c>
    </row>
    <row r="616" customFormat="false" ht="15" hidden="false" customHeight="true" outlineLevel="0" collapsed="false">
      <c r="A616" s="1" t="s">
        <v>213</v>
      </c>
      <c r="B616" s="1" t="s">
        <v>61</v>
      </c>
      <c r="C616" s="1" t="s">
        <v>211</v>
      </c>
      <c r="D616" s="1" t="n">
        <v>6</v>
      </c>
      <c r="E616" s="1" t="n">
        <v>23</v>
      </c>
      <c r="F616" s="1" t="s">
        <v>47</v>
      </c>
      <c r="G616" s="1" t="s">
        <v>48</v>
      </c>
      <c r="H616" s="1" t="n">
        <v>33</v>
      </c>
      <c r="I616" s="1" t="n">
        <v>3671.91</v>
      </c>
      <c r="J616" s="1" t="n">
        <v>300</v>
      </c>
    </row>
    <row r="617" customFormat="false" ht="15" hidden="false" customHeight="true" outlineLevel="0" collapsed="false">
      <c r="A617" s="1" t="s">
        <v>213</v>
      </c>
      <c r="B617" s="1" t="s">
        <v>61</v>
      </c>
      <c r="C617" s="1" t="s">
        <v>211</v>
      </c>
      <c r="D617" s="1" t="n">
        <v>6</v>
      </c>
      <c r="E617" s="1" t="n">
        <v>23</v>
      </c>
      <c r="F617" s="1" t="s">
        <v>49</v>
      </c>
      <c r="G617" s="1" t="s">
        <v>49</v>
      </c>
      <c r="H617" s="1" t="n">
        <v>31</v>
      </c>
      <c r="I617" s="1" t="n">
        <v>2591.29</v>
      </c>
      <c r="J617" s="1" t="n">
        <v>300</v>
      </c>
    </row>
    <row r="618" customFormat="false" ht="15" hidden="false" customHeight="true" outlineLevel="0" collapsed="false">
      <c r="A618" s="1" t="s">
        <v>214</v>
      </c>
      <c r="B618" s="1" t="s">
        <v>41</v>
      </c>
      <c r="C618" s="1" t="s">
        <v>211</v>
      </c>
      <c r="D618" s="1" t="n">
        <v>6</v>
      </c>
      <c r="E618" s="1" t="n">
        <v>23</v>
      </c>
      <c r="F618" s="1" t="s">
        <v>43</v>
      </c>
      <c r="G618" s="1" t="s">
        <v>44</v>
      </c>
      <c r="H618" s="1" t="n">
        <v>102</v>
      </c>
      <c r="I618" s="1" t="n">
        <v>14223.9</v>
      </c>
      <c r="J618" s="1" t="n">
        <v>300</v>
      </c>
    </row>
    <row r="619" customFormat="false" ht="15" hidden="false" customHeight="true" outlineLevel="0" collapsed="false">
      <c r="A619" s="1" t="s">
        <v>214</v>
      </c>
      <c r="B619" s="1" t="s">
        <v>41</v>
      </c>
      <c r="C619" s="1" t="s">
        <v>211</v>
      </c>
      <c r="D619" s="1" t="n">
        <v>6</v>
      </c>
      <c r="E619" s="1" t="n">
        <v>23</v>
      </c>
      <c r="F619" s="1" t="s">
        <v>45</v>
      </c>
      <c r="G619" s="1" t="s">
        <v>46</v>
      </c>
      <c r="H619" s="1" t="n">
        <v>20</v>
      </c>
      <c r="I619" s="1" t="n">
        <v>2338</v>
      </c>
      <c r="J619" s="1" t="n">
        <v>300</v>
      </c>
    </row>
    <row r="620" customFormat="false" ht="15" hidden="false" customHeight="true" outlineLevel="0" collapsed="false">
      <c r="A620" s="1" t="s">
        <v>214</v>
      </c>
      <c r="B620" s="1" t="s">
        <v>41</v>
      </c>
      <c r="C620" s="1" t="s">
        <v>211</v>
      </c>
      <c r="D620" s="1" t="n">
        <v>6</v>
      </c>
      <c r="E620" s="1" t="n">
        <v>23</v>
      </c>
      <c r="F620" s="1" t="s">
        <v>47</v>
      </c>
      <c r="G620" s="1" t="s">
        <v>48</v>
      </c>
      <c r="H620" s="1" t="n">
        <v>35</v>
      </c>
      <c r="I620" s="1" t="n">
        <v>3324.3</v>
      </c>
      <c r="J620" s="1" t="n">
        <v>300</v>
      </c>
    </row>
    <row r="621" customFormat="false" ht="15" hidden="false" customHeight="true" outlineLevel="0" collapsed="false">
      <c r="A621" s="1" t="s">
        <v>214</v>
      </c>
      <c r="B621" s="1" t="s">
        <v>41</v>
      </c>
      <c r="C621" s="1" t="s">
        <v>211</v>
      </c>
      <c r="D621" s="1" t="n">
        <v>6</v>
      </c>
      <c r="E621" s="1" t="n">
        <v>23</v>
      </c>
      <c r="F621" s="1" t="s">
        <v>49</v>
      </c>
      <c r="G621" s="1" t="s">
        <v>49</v>
      </c>
      <c r="H621" s="1" t="n">
        <v>34</v>
      </c>
      <c r="I621" s="1" t="n">
        <v>3399.32</v>
      </c>
      <c r="J621" s="1" t="n">
        <v>300</v>
      </c>
    </row>
    <row r="622" customFormat="false" ht="15" hidden="false" customHeight="true" outlineLevel="0" collapsed="false">
      <c r="A622" s="1" t="s">
        <v>215</v>
      </c>
      <c r="B622" s="1" t="s">
        <v>51</v>
      </c>
      <c r="C622" s="1" t="s">
        <v>211</v>
      </c>
      <c r="D622" s="1" t="n">
        <v>6</v>
      </c>
      <c r="E622" s="1" t="n">
        <v>23</v>
      </c>
      <c r="F622" s="1" t="s">
        <v>43</v>
      </c>
      <c r="G622" s="1" t="s">
        <v>44</v>
      </c>
      <c r="H622" s="1" t="n">
        <v>99</v>
      </c>
      <c r="I622" s="1" t="n">
        <v>11808.72</v>
      </c>
      <c r="J622" s="1" t="n">
        <v>300</v>
      </c>
    </row>
    <row r="623" customFormat="false" ht="15" hidden="false" customHeight="true" outlineLevel="0" collapsed="false">
      <c r="A623" s="1" t="s">
        <v>215</v>
      </c>
      <c r="B623" s="1" t="s">
        <v>51</v>
      </c>
      <c r="C623" s="1" t="s">
        <v>211</v>
      </c>
      <c r="D623" s="1" t="n">
        <v>6</v>
      </c>
      <c r="E623" s="1" t="n">
        <v>23</v>
      </c>
      <c r="F623" s="1" t="s">
        <v>45</v>
      </c>
      <c r="G623" s="1" t="s">
        <v>46</v>
      </c>
      <c r="H623" s="1" t="n">
        <v>20</v>
      </c>
      <c r="I623" s="1" t="n">
        <v>1999</v>
      </c>
      <c r="J623" s="1" t="n">
        <v>300</v>
      </c>
    </row>
    <row r="624" customFormat="false" ht="15" hidden="false" customHeight="true" outlineLevel="0" collapsed="false">
      <c r="A624" s="1" t="s">
        <v>215</v>
      </c>
      <c r="B624" s="1" t="s">
        <v>51</v>
      </c>
      <c r="C624" s="1" t="s">
        <v>211</v>
      </c>
      <c r="D624" s="1" t="n">
        <v>6</v>
      </c>
      <c r="E624" s="1" t="n">
        <v>23</v>
      </c>
      <c r="F624" s="1" t="s">
        <v>47</v>
      </c>
      <c r="G624" s="1" t="s">
        <v>48</v>
      </c>
      <c r="H624" s="1" t="n">
        <v>28</v>
      </c>
      <c r="I624" s="1" t="n">
        <v>2548.84</v>
      </c>
      <c r="J624" s="1" t="n">
        <v>300</v>
      </c>
    </row>
    <row r="625" customFormat="false" ht="15" hidden="false" customHeight="true" outlineLevel="0" collapsed="false">
      <c r="A625" s="1" t="s">
        <v>215</v>
      </c>
      <c r="B625" s="1" t="s">
        <v>51</v>
      </c>
      <c r="C625" s="1" t="s">
        <v>211</v>
      </c>
      <c r="D625" s="1" t="n">
        <v>6</v>
      </c>
      <c r="E625" s="1" t="n">
        <v>23</v>
      </c>
      <c r="F625" s="1" t="s">
        <v>49</v>
      </c>
      <c r="G625" s="1" t="s">
        <v>49</v>
      </c>
      <c r="H625" s="1" t="n">
        <v>32</v>
      </c>
      <c r="I625" s="1" t="n">
        <v>2779.84</v>
      </c>
      <c r="J625" s="1" t="n">
        <v>300</v>
      </c>
    </row>
    <row r="626" customFormat="false" ht="15" hidden="false" customHeight="true" outlineLevel="0" collapsed="false">
      <c r="A626" s="1" t="s">
        <v>216</v>
      </c>
      <c r="B626" s="1" t="s">
        <v>53</v>
      </c>
      <c r="C626" s="1" t="s">
        <v>211</v>
      </c>
      <c r="D626" s="1" t="n">
        <v>6</v>
      </c>
      <c r="E626" s="1" t="n">
        <v>23</v>
      </c>
      <c r="F626" s="1" t="s">
        <v>43</v>
      </c>
      <c r="G626" s="1" t="s">
        <v>44</v>
      </c>
      <c r="H626" s="1" t="n">
        <v>105</v>
      </c>
      <c r="I626" s="1" t="n">
        <v>11495.4</v>
      </c>
      <c r="J626" s="1" t="n">
        <v>300</v>
      </c>
    </row>
    <row r="627" customFormat="false" ht="15" hidden="false" customHeight="true" outlineLevel="0" collapsed="false">
      <c r="A627" s="1" t="s">
        <v>216</v>
      </c>
      <c r="B627" s="1" t="s">
        <v>53</v>
      </c>
      <c r="C627" s="1" t="s">
        <v>211</v>
      </c>
      <c r="D627" s="1" t="n">
        <v>6</v>
      </c>
      <c r="E627" s="1" t="n">
        <v>23</v>
      </c>
      <c r="F627" s="1" t="s">
        <v>45</v>
      </c>
      <c r="G627" s="1" t="s">
        <v>46</v>
      </c>
      <c r="H627" s="1" t="n">
        <v>22</v>
      </c>
      <c r="I627" s="1" t="n">
        <v>2458.5</v>
      </c>
      <c r="J627" s="1" t="n">
        <v>300</v>
      </c>
    </row>
    <row r="628" customFormat="false" ht="15" hidden="false" customHeight="true" outlineLevel="0" collapsed="false">
      <c r="A628" s="1" t="s">
        <v>216</v>
      </c>
      <c r="B628" s="1" t="s">
        <v>53</v>
      </c>
      <c r="C628" s="1" t="s">
        <v>211</v>
      </c>
      <c r="D628" s="1" t="n">
        <v>6</v>
      </c>
      <c r="E628" s="1" t="n">
        <v>23</v>
      </c>
      <c r="F628" s="1" t="s">
        <v>47</v>
      </c>
      <c r="G628" s="1" t="s">
        <v>48</v>
      </c>
      <c r="H628" s="1" t="n">
        <v>25</v>
      </c>
      <c r="I628" s="1" t="n">
        <v>2511.25</v>
      </c>
      <c r="J628" s="1" t="n">
        <v>300</v>
      </c>
    </row>
    <row r="629" customFormat="false" ht="15" hidden="false" customHeight="true" outlineLevel="0" collapsed="false">
      <c r="A629" s="1" t="s">
        <v>216</v>
      </c>
      <c r="B629" s="1" t="s">
        <v>53</v>
      </c>
      <c r="C629" s="1" t="s">
        <v>211</v>
      </c>
      <c r="D629" s="1" t="n">
        <v>6</v>
      </c>
      <c r="E629" s="1" t="n">
        <v>23</v>
      </c>
      <c r="F629" s="1" t="s">
        <v>49</v>
      </c>
      <c r="G629" s="1" t="s">
        <v>49</v>
      </c>
      <c r="H629" s="1" t="n">
        <v>36</v>
      </c>
      <c r="I629" s="1" t="n">
        <v>3040.92</v>
      </c>
      <c r="J629" s="1" t="n">
        <v>300</v>
      </c>
    </row>
    <row r="630" customFormat="false" ht="15" hidden="false" customHeight="true" outlineLevel="0" collapsed="false">
      <c r="A630" s="1" t="s">
        <v>217</v>
      </c>
      <c r="B630" s="1" t="s">
        <v>55</v>
      </c>
      <c r="C630" s="1" t="s">
        <v>211</v>
      </c>
      <c r="D630" s="1" t="n">
        <v>6</v>
      </c>
      <c r="E630" s="1" t="n">
        <v>23</v>
      </c>
      <c r="F630" s="1" t="s">
        <v>43</v>
      </c>
      <c r="G630" s="1" t="s">
        <v>44</v>
      </c>
      <c r="H630" s="1" t="n">
        <v>22</v>
      </c>
      <c r="I630" s="1" t="n">
        <v>2723.38</v>
      </c>
      <c r="J630" s="1" t="n">
        <v>300</v>
      </c>
    </row>
    <row r="631" customFormat="false" ht="15" hidden="false" customHeight="true" outlineLevel="0" collapsed="false">
      <c r="A631" s="1" t="s">
        <v>217</v>
      </c>
      <c r="B631" s="1" t="s">
        <v>55</v>
      </c>
      <c r="C631" s="1" t="s">
        <v>211</v>
      </c>
      <c r="D631" s="1" t="n">
        <v>6</v>
      </c>
      <c r="E631" s="1" t="n">
        <v>23</v>
      </c>
      <c r="F631" s="1" t="s">
        <v>45</v>
      </c>
      <c r="G631" s="1" t="s">
        <v>46</v>
      </c>
      <c r="H631" s="1" t="n">
        <v>56</v>
      </c>
      <c r="I631" s="1" t="n">
        <v>5939.92</v>
      </c>
      <c r="J631" s="1" t="n">
        <v>300</v>
      </c>
    </row>
    <row r="632" customFormat="false" ht="15" hidden="false" customHeight="true" outlineLevel="0" collapsed="false">
      <c r="A632" s="1" t="s">
        <v>217</v>
      </c>
      <c r="B632" s="1" t="s">
        <v>55</v>
      </c>
      <c r="C632" s="1" t="s">
        <v>211</v>
      </c>
      <c r="D632" s="1" t="n">
        <v>6</v>
      </c>
      <c r="E632" s="1" t="n">
        <v>23</v>
      </c>
      <c r="F632" s="1" t="s">
        <v>47</v>
      </c>
      <c r="G632" s="1" t="s">
        <v>48</v>
      </c>
      <c r="H632" s="1" t="n">
        <v>17</v>
      </c>
      <c r="I632" s="1" t="n">
        <v>1677.73</v>
      </c>
      <c r="J632" s="1" t="n">
        <v>300</v>
      </c>
    </row>
    <row r="633" customFormat="false" ht="15" hidden="false" customHeight="true" outlineLevel="0" collapsed="false">
      <c r="A633" s="1" t="s">
        <v>217</v>
      </c>
      <c r="B633" s="1" t="s">
        <v>55</v>
      </c>
      <c r="C633" s="1" t="s">
        <v>211</v>
      </c>
      <c r="D633" s="1" t="n">
        <v>6</v>
      </c>
      <c r="E633" s="1" t="n">
        <v>23</v>
      </c>
      <c r="F633" s="1" t="s">
        <v>49</v>
      </c>
      <c r="G633" s="1" t="s">
        <v>49</v>
      </c>
      <c r="H633" s="1" t="n">
        <v>43</v>
      </c>
      <c r="I633" s="1" t="n">
        <v>3700.15</v>
      </c>
      <c r="J633" s="1" t="n">
        <v>300</v>
      </c>
    </row>
    <row r="634" customFormat="false" ht="15" hidden="false" customHeight="true" outlineLevel="0" collapsed="false">
      <c r="A634" s="1" t="s">
        <v>218</v>
      </c>
      <c r="B634" s="1" t="s">
        <v>57</v>
      </c>
      <c r="C634" s="1" t="s">
        <v>211</v>
      </c>
      <c r="D634" s="1" t="n">
        <v>6</v>
      </c>
      <c r="E634" s="1" t="n">
        <v>23</v>
      </c>
      <c r="F634" s="1" t="s">
        <v>43</v>
      </c>
      <c r="G634" s="1" t="s">
        <v>44</v>
      </c>
      <c r="H634" s="1" t="n">
        <v>20</v>
      </c>
      <c r="I634" s="1" t="n">
        <v>2210.2</v>
      </c>
      <c r="J634" s="1" t="n">
        <v>300</v>
      </c>
    </row>
    <row r="635" customFormat="false" ht="15" hidden="false" customHeight="true" outlineLevel="0" collapsed="false">
      <c r="A635" s="1" t="s">
        <v>218</v>
      </c>
      <c r="B635" s="1" t="s">
        <v>57</v>
      </c>
      <c r="C635" s="1" t="s">
        <v>211</v>
      </c>
      <c r="D635" s="1" t="n">
        <v>6</v>
      </c>
      <c r="E635" s="1" t="n">
        <v>23</v>
      </c>
      <c r="F635" s="1" t="s">
        <v>45</v>
      </c>
      <c r="G635" s="1" t="s">
        <v>46</v>
      </c>
      <c r="H635" s="1" t="n">
        <v>59</v>
      </c>
      <c r="I635" s="1" t="n">
        <v>5938.94</v>
      </c>
      <c r="J635" s="1" t="n">
        <v>300</v>
      </c>
    </row>
    <row r="636" customFormat="false" ht="15" hidden="false" customHeight="true" outlineLevel="0" collapsed="false">
      <c r="A636" s="1" t="s">
        <v>218</v>
      </c>
      <c r="B636" s="1" t="s">
        <v>57</v>
      </c>
      <c r="C636" s="1" t="s">
        <v>211</v>
      </c>
      <c r="D636" s="1" t="n">
        <v>6</v>
      </c>
      <c r="E636" s="1" t="n">
        <v>23</v>
      </c>
      <c r="F636" s="1" t="s">
        <v>47</v>
      </c>
      <c r="G636" s="1" t="s">
        <v>48</v>
      </c>
      <c r="H636" s="1" t="n">
        <v>15</v>
      </c>
      <c r="I636" s="1" t="n">
        <v>1582.95</v>
      </c>
      <c r="J636" s="1" t="n">
        <v>300</v>
      </c>
    </row>
    <row r="637" customFormat="false" ht="15" hidden="false" customHeight="true" outlineLevel="0" collapsed="false">
      <c r="A637" s="1" t="s">
        <v>218</v>
      </c>
      <c r="B637" s="1" t="s">
        <v>57</v>
      </c>
      <c r="C637" s="1" t="s">
        <v>211</v>
      </c>
      <c r="D637" s="1" t="n">
        <v>6</v>
      </c>
      <c r="E637" s="1" t="n">
        <v>23</v>
      </c>
      <c r="F637" s="1" t="s">
        <v>49</v>
      </c>
      <c r="G637" s="1" t="s">
        <v>49</v>
      </c>
      <c r="H637" s="1" t="n">
        <v>45</v>
      </c>
      <c r="I637" s="1" t="n">
        <v>4248.45</v>
      </c>
      <c r="J637" s="1" t="n">
        <v>300</v>
      </c>
    </row>
    <row r="638" customFormat="false" ht="15" hidden="false" customHeight="true" outlineLevel="0" collapsed="false">
      <c r="A638" s="1" t="s">
        <v>219</v>
      </c>
      <c r="B638" s="1" t="s">
        <v>59</v>
      </c>
      <c r="C638" s="1" t="s">
        <v>211</v>
      </c>
      <c r="D638" s="1" t="n">
        <v>6</v>
      </c>
      <c r="E638" s="1" t="n">
        <v>24</v>
      </c>
      <c r="F638" s="1" t="s">
        <v>43</v>
      </c>
      <c r="G638" s="1" t="s">
        <v>44</v>
      </c>
      <c r="H638" s="1" t="n">
        <v>93</v>
      </c>
      <c r="I638" s="1" t="n">
        <v>11016.78</v>
      </c>
      <c r="J638" s="1" t="n">
        <v>300</v>
      </c>
    </row>
    <row r="639" customFormat="false" ht="15" hidden="false" customHeight="true" outlineLevel="0" collapsed="false">
      <c r="A639" s="1" t="s">
        <v>219</v>
      </c>
      <c r="B639" s="1" t="s">
        <v>59</v>
      </c>
      <c r="C639" s="1" t="s">
        <v>211</v>
      </c>
      <c r="D639" s="1" t="n">
        <v>6</v>
      </c>
      <c r="E639" s="1" t="n">
        <v>24</v>
      </c>
      <c r="F639" s="1" t="s">
        <v>45</v>
      </c>
      <c r="G639" s="1" t="s">
        <v>46</v>
      </c>
      <c r="H639" s="1" t="n">
        <v>24</v>
      </c>
      <c r="I639" s="1" t="n">
        <v>2575.92</v>
      </c>
      <c r="J639" s="1" t="n">
        <v>300</v>
      </c>
    </row>
    <row r="640" customFormat="false" ht="15" hidden="false" customHeight="true" outlineLevel="0" collapsed="false">
      <c r="A640" s="1" t="s">
        <v>219</v>
      </c>
      <c r="B640" s="1" t="s">
        <v>59</v>
      </c>
      <c r="C640" s="1" t="s">
        <v>211</v>
      </c>
      <c r="D640" s="1" t="n">
        <v>6</v>
      </c>
      <c r="E640" s="1" t="n">
        <v>24</v>
      </c>
      <c r="F640" s="1" t="s">
        <v>47</v>
      </c>
      <c r="G640" s="1" t="s">
        <v>48</v>
      </c>
      <c r="H640" s="1" t="n">
        <v>37</v>
      </c>
      <c r="I640" s="1" t="n">
        <v>3720.72</v>
      </c>
      <c r="J640" s="1" t="n">
        <v>300</v>
      </c>
    </row>
    <row r="641" customFormat="false" ht="15" hidden="false" customHeight="true" outlineLevel="0" collapsed="false">
      <c r="A641" s="1" t="s">
        <v>219</v>
      </c>
      <c r="B641" s="1" t="s">
        <v>59</v>
      </c>
      <c r="C641" s="1" t="s">
        <v>211</v>
      </c>
      <c r="D641" s="1" t="n">
        <v>6</v>
      </c>
      <c r="E641" s="1" t="n">
        <v>24</v>
      </c>
      <c r="F641" s="1" t="s">
        <v>49</v>
      </c>
      <c r="G641" s="1" t="s">
        <v>49</v>
      </c>
      <c r="H641" s="1" t="n">
        <v>33</v>
      </c>
      <c r="I641" s="1" t="n">
        <v>2949.87</v>
      </c>
      <c r="J641" s="1" t="n">
        <v>300</v>
      </c>
    </row>
    <row r="642" customFormat="false" ht="15" hidden="false" customHeight="true" outlineLevel="0" collapsed="false">
      <c r="A642" s="1" t="s">
        <v>220</v>
      </c>
      <c r="B642" s="1" t="s">
        <v>61</v>
      </c>
      <c r="C642" s="1" t="s">
        <v>211</v>
      </c>
      <c r="D642" s="1" t="n">
        <v>6</v>
      </c>
      <c r="E642" s="1" t="n">
        <v>24</v>
      </c>
      <c r="F642" s="1" t="s">
        <v>43</v>
      </c>
      <c r="G642" s="1" t="s">
        <v>44</v>
      </c>
      <c r="H642" s="1" t="n">
        <v>104</v>
      </c>
      <c r="I642" s="1" t="n">
        <v>12443.6</v>
      </c>
      <c r="J642" s="1" t="n">
        <v>300</v>
      </c>
    </row>
    <row r="643" customFormat="false" ht="15" hidden="false" customHeight="true" outlineLevel="0" collapsed="false">
      <c r="A643" s="1" t="s">
        <v>220</v>
      </c>
      <c r="B643" s="1" t="s">
        <v>61</v>
      </c>
      <c r="C643" s="1" t="s">
        <v>211</v>
      </c>
      <c r="D643" s="1" t="n">
        <v>6</v>
      </c>
      <c r="E643" s="1" t="n">
        <v>24</v>
      </c>
      <c r="F643" s="1" t="s">
        <v>45</v>
      </c>
      <c r="G643" s="1" t="s">
        <v>46</v>
      </c>
      <c r="H643" s="1" t="n">
        <v>23</v>
      </c>
      <c r="I643" s="1" t="n">
        <v>2588.42</v>
      </c>
      <c r="J643" s="1" t="n">
        <v>300</v>
      </c>
    </row>
    <row r="644" customFormat="false" ht="15" hidden="false" customHeight="true" outlineLevel="0" collapsed="false">
      <c r="A644" s="1" t="s">
        <v>220</v>
      </c>
      <c r="B644" s="1" t="s">
        <v>61</v>
      </c>
      <c r="C644" s="1" t="s">
        <v>211</v>
      </c>
      <c r="D644" s="1" t="n">
        <v>6</v>
      </c>
      <c r="E644" s="1" t="n">
        <v>24</v>
      </c>
      <c r="F644" s="1" t="s">
        <v>47</v>
      </c>
      <c r="G644" s="1" t="s">
        <v>48</v>
      </c>
      <c r="H644" s="1" t="n">
        <v>28</v>
      </c>
      <c r="I644" s="1" t="n">
        <v>2531.2</v>
      </c>
      <c r="J644" s="1" t="n">
        <v>300</v>
      </c>
    </row>
    <row r="645" customFormat="false" ht="15" hidden="false" customHeight="true" outlineLevel="0" collapsed="false">
      <c r="A645" s="1" t="s">
        <v>220</v>
      </c>
      <c r="B645" s="1" t="s">
        <v>61</v>
      </c>
      <c r="C645" s="1" t="s">
        <v>211</v>
      </c>
      <c r="D645" s="1" t="n">
        <v>6</v>
      </c>
      <c r="E645" s="1" t="n">
        <v>24</v>
      </c>
      <c r="F645" s="1" t="s">
        <v>49</v>
      </c>
      <c r="G645" s="1" t="s">
        <v>49</v>
      </c>
      <c r="H645" s="1" t="n">
        <v>27</v>
      </c>
      <c r="I645" s="1" t="n">
        <v>2533.95</v>
      </c>
      <c r="J645" s="1" t="n">
        <v>300</v>
      </c>
    </row>
    <row r="646" customFormat="false" ht="15" hidden="false" customHeight="true" outlineLevel="0" collapsed="false">
      <c r="A646" s="1" t="s">
        <v>221</v>
      </c>
      <c r="B646" s="1" t="s">
        <v>41</v>
      </c>
      <c r="C646" s="1" t="s">
        <v>211</v>
      </c>
      <c r="D646" s="1" t="n">
        <v>6</v>
      </c>
      <c r="E646" s="1" t="n">
        <v>24</v>
      </c>
      <c r="F646" s="1" t="s">
        <v>43</v>
      </c>
      <c r="G646" s="1" t="s">
        <v>44</v>
      </c>
      <c r="H646" s="1" t="n">
        <v>92</v>
      </c>
      <c r="I646" s="1" t="n">
        <v>9674.72</v>
      </c>
      <c r="J646" s="1" t="n">
        <v>300</v>
      </c>
    </row>
    <row r="647" customFormat="false" ht="15" hidden="false" customHeight="true" outlineLevel="0" collapsed="false">
      <c r="A647" s="1" t="s">
        <v>221</v>
      </c>
      <c r="B647" s="1" t="s">
        <v>41</v>
      </c>
      <c r="C647" s="1" t="s">
        <v>211</v>
      </c>
      <c r="D647" s="1" t="n">
        <v>6</v>
      </c>
      <c r="E647" s="1" t="n">
        <v>24</v>
      </c>
      <c r="F647" s="1" t="s">
        <v>45</v>
      </c>
      <c r="G647" s="1" t="s">
        <v>46</v>
      </c>
      <c r="H647" s="1" t="n">
        <v>22</v>
      </c>
      <c r="I647" s="1" t="n">
        <v>2691.7</v>
      </c>
      <c r="J647" s="1" t="n">
        <v>300</v>
      </c>
    </row>
    <row r="648" customFormat="false" ht="15" hidden="false" customHeight="true" outlineLevel="0" collapsed="false">
      <c r="A648" s="1" t="s">
        <v>221</v>
      </c>
      <c r="B648" s="1" t="s">
        <v>41</v>
      </c>
      <c r="C648" s="1" t="s">
        <v>211</v>
      </c>
      <c r="D648" s="1" t="n">
        <v>6</v>
      </c>
      <c r="E648" s="1" t="n">
        <v>24</v>
      </c>
      <c r="F648" s="1" t="s">
        <v>47</v>
      </c>
      <c r="G648" s="1" t="s">
        <v>48</v>
      </c>
      <c r="H648" s="1" t="n">
        <v>30</v>
      </c>
      <c r="I648" s="1" t="n">
        <v>3095.4</v>
      </c>
      <c r="J648" s="1" t="n">
        <v>300</v>
      </c>
    </row>
    <row r="649" customFormat="false" ht="15" hidden="false" customHeight="true" outlineLevel="0" collapsed="false">
      <c r="A649" s="1" t="s">
        <v>221</v>
      </c>
      <c r="B649" s="1" t="s">
        <v>41</v>
      </c>
      <c r="C649" s="1" t="s">
        <v>211</v>
      </c>
      <c r="D649" s="1" t="n">
        <v>6</v>
      </c>
      <c r="E649" s="1" t="n">
        <v>24</v>
      </c>
      <c r="F649" s="1" t="s">
        <v>49</v>
      </c>
      <c r="G649" s="1" t="s">
        <v>49</v>
      </c>
      <c r="H649" s="1" t="n">
        <v>33</v>
      </c>
      <c r="I649" s="1" t="n">
        <v>2987.82</v>
      </c>
      <c r="J649" s="1" t="n">
        <v>300</v>
      </c>
    </row>
    <row r="650" customFormat="false" ht="15" hidden="false" customHeight="true" outlineLevel="0" collapsed="false">
      <c r="A650" s="1" t="s">
        <v>222</v>
      </c>
      <c r="B650" s="1" t="s">
        <v>51</v>
      </c>
      <c r="C650" s="1" t="s">
        <v>211</v>
      </c>
      <c r="D650" s="1" t="n">
        <v>6</v>
      </c>
      <c r="E650" s="1" t="n">
        <v>24</v>
      </c>
      <c r="F650" s="1" t="s">
        <v>43</v>
      </c>
      <c r="G650" s="1" t="s">
        <v>44</v>
      </c>
      <c r="H650" s="1" t="n">
        <v>111</v>
      </c>
      <c r="I650" s="1" t="n">
        <v>13170.15</v>
      </c>
      <c r="J650" s="1" t="n">
        <v>300</v>
      </c>
    </row>
    <row r="651" customFormat="false" ht="15" hidden="false" customHeight="true" outlineLevel="0" collapsed="false">
      <c r="A651" s="1" t="s">
        <v>222</v>
      </c>
      <c r="B651" s="1" t="s">
        <v>51</v>
      </c>
      <c r="C651" s="1" t="s">
        <v>211</v>
      </c>
      <c r="D651" s="1" t="n">
        <v>6</v>
      </c>
      <c r="E651" s="1" t="n">
        <v>24</v>
      </c>
      <c r="F651" s="1" t="s">
        <v>45</v>
      </c>
      <c r="G651" s="1" t="s">
        <v>46</v>
      </c>
      <c r="H651" s="1" t="n">
        <v>22</v>
      </c>
      <c r="I651" s="1" t="n">
        <v>2386.56</v>
      </c>
      <c r="J651" s="1" t="n">
        <v>300</v>
      </c>
    </row>
    <row r="652" customFormat="false" ht="15" hidden="false" customHeight="true" outlineLevel="0" collapsed="false">
      <c r="A652" s="1" t="s">
        <v>222</v>
      </c>
      <c r="B652" s="1" t="s">
        <v>51</v>
      </c>
      <c r="C652" s="1" t="s">
        <v>211</v>
      </c>
      <c r="D652" s="1" t="n">
        <v>6</v>
      </c>
      <c r="E652" s="1" t="n">
        <v>24</v>
      </c>
      <c r="F652" s="1" t="s">
        <v>47</v>
      </c>
      <c r="G652" s="1" t="s">
        <v>48</v>
      </c>
      <c r="H652" s="1" t="n">
        <v>28</v>
      </c>
      <c r="I652" s="1" t="n">
        <v>2914.52</v>
      </c>
      <c r="J652" s="1" t="n">
        <v>300</v>
      </c>
    </row>
    <row r="653" customFormat="false" ht="15" hidden="false" customHeight="true" outlineLevel="0" collapsed="false">
      <c r="A653" s="1" t="s">
        <v>222</v>
      </c>
      <c r="B653" s="1" t="s">
        <v>51</v>
      </c>
      <c r="C653" s="1" t="s">
        <v>211</v>
      </c>
      <c r="D653" s="1" t="n">
        <v>6</v>
      </c>
      <c r="E653" s="1" t="n">
        <v>24</v>
      </c>
      <c r="F653" s="1" t="s">
        <v>49</v>
      </c>
      <c r="G653" s="1" t="s">
        <v>49</v>
      </c>
      <c r="H653" s="1" t="n">
        <v>32</v>
      </c>
      <c r="I653" s="1" t="n">
        <v>2782.4</v>
      </c>
      <c r="J653" s="1" t="n">
        <v>300</v>
      </c>
    </row>
    <row r="654" customFormat="false" ht="15" hidden="false" customHeight="true" outlineLevel="0" collapsed="false">
      <c r="A654" s="1" t="s">
        <v>223</v>
      </c>
      <c r="B654" s="1" t="s">
        <v>53</v>
      </c>
      <c r="C654" s="1" t="s">
        <v>211</v>
      </c>
      <c r="D654" s="1" t="n">
        <v>6</v>
      </c>
      <c r="E654" s="1" t="n">
        <v>24</v>
      </c>
      <c r="F654" s="1" t="s">
        <v>43</v>
      </c>
      <c r="G654" s="1" t="s">
        <v>44</v>
      </c>
      <c r="H654" s="1" t="n">
        <v>108</v>
      </c>
      <c r="I654" s="1" t="n">
        <v>12339</v>
      </c>
      <c r="J654" s="1" t="n">
        <v>300</v>
      </c>
    </row>
    <row r="655" customFormat="false" ht="15" hidden="false" customHeight="true" outlineLevel="0" collapsed="false">
      <c r="A655" s="1" t="s">
        <v>223</v>
      </c>
      <c r="B655" s="1" t="s">
        <v>53</v>
      </c>
      <c r="C655" s="1" t="s">
        <v>211</v>
      </c>
      <c r="D655" s="1" t="n">
        <v>6</v>
      </c>
      <c r="E655" s="1" t="n">
        <v>24</v>
      </c>
      <c r="F655" s="1" t="s">
        <v>45</v>
      </c>
      <c r="G655" s="1" t="s">
        <v>46</v>
      </c>
      <c r="H655" s="1" t="n">
        <v>22</v>
      </c>
      <c r="I655" s="1" t="n">
        <v>2340.14</v>
      </c>
      <c r="J655" s="1" t="n">
        <v>300</v>
      </c>
    </row>
    <row r="656" customFormat="false" ht="15" hidden="false" customHeight="true" outlineLevel="0" collapsed="false">
      <c r="A656" s="1" t="s">
        <v>223</v>
      </c>
      <c r="B656" s="1" t="s">
        <v>53</v>
      </c>
      <c r="C656" s="1" t="s">
        <v>211</v>
      </c>
      <c r="D656" s="1" t="n">
        <v>6</v>
      </c>
      <c r="E656" s="1" t="n">
        <v>24</v>
      </c>
      <c r="F656" s="1" t="s">
        <v>47</v>
      </c>
      <c r="G656" s="1" t="s">
        <v>48</v>
      </c>
      <c r="H656" s="1" t="n">
        <v>33</v>
      </c>
      <c r="I656" s="1" t="n">
        <v>3334.32</v>
      </c>
      <c r="J656" s="1" t="n">
        <v>300</v>
      </c>
    </row>
    <row r="657" customFormat="false" ht="15" hidden="false" customHeight="true" outlineLevel="0" collapsed="false">
      <c r="A657" s="1" t="s">
        <v>223</v>
      </c>
      <c r="B657" s="1" t="s">
        <v>53</v>
      </c>
      <c r="C657" s="1" t="s">
        <v>211</v>
      </c>
      <c r="D657" s="1" t="n">
        <v>6</v>
      </c>
      <c r="E657" s="1" t="n">
        <v>24</v>
      </c>
      <c r="F657" s="1" t="s">
        <v>49</v>
      </c>
      <c r="G657" s="1" t="s">
        <v>49</v>
      </c>
      <c r="H657" s="1" t="n">
        <v>32</v>
      </c>
      <c r="I657" s="1" t="n">
        <v>3057.6</v>
      </c>
      <c r="J657" s="1" t="n">
        <v>300</v>
      </c>
    </row>
    <row r="658" customFormat="false" ht="15" hidden="false" customHeight="true" outlineLevel="0" collapsed="false">
      <c r="A658" s="1" t="s">
        <v>224</v>
      </c>
      <c r="B658" s="1" t="s">
        <v>55</v>
      </c>
      <c r="C658" s="1" t="s">
        <v>211</v>
      </c>
      <c r="D658" s="1" t="n">
        <v>6</v>
      </c>
      <c r="E658" s="1" t="n">
        <v>24</v>
      </c>
      <c r="F658" s="1" t="s">
        <v>43</v>
      </c>
      <c r="G658" s="1" t="s">
        <v>44</v>
      </c>
      <c r="H658" s="1" t="n">
        <v>22</v>
      </c>
      <c r="I658" s="1" t="n">
        <v>2745.6</v>
      </c>
      <c r="J658" s="1" t="n">
        <v>300</v>
      </c>
    </row>
    <row r="659" customFormat="false" ht="15" hidden="false" customHeight="true" outlineLevel="0" collapsed="false">
      <c r="A659" s="1" t="s">
        <v>224</v>
      </c>
      <c r="B659" s="1" t="s">
        <v>55</v>
      </c>
      <c r="C659" s="1" t="s">
        <v>211</v>
      </c>
      <c r="D659" s="1" t="n">
        <v>6</v>
      </c>
      <c r="E659" s="1" t="n">
        <v>24</v>
      </c>
      <c r="F659" s="1" t="s">
        <v>45</v>
      </c>
      <c r="G659" s="1" t="s">
        <v>46</v>
      </c>
      <c r="H659" s="1" t="n">
        <v>59</v>
      </c>
      <c r="I659" s="1" t="n">
        <v>5784.95</v>
      </c>
      <c r="J659" s="1" t="n">
        <v>300</v>
      </c>
    </row>
    <row r="660" customFormat="false" ht="15" hidden="false" customHeight="true" outlineLevel="0" collapsed="false">
      <c r="A660" s="1" t="s">
        <v>224</v>
      </c>
      <c r="B660" s="1" t="s">
        <v>55</v>
      </c>
      <c r="C660" s="1" t="s">
        <v>211</v>
      </c>
      <c r="D660" s="1" t="n">
        <v>6</v>
      </c>
      <c r="E660" s="1" t="n">
        <v>24</v>
      </c>
      <c r="F660" s="1" t="s">
        <v>47</v>
      </c>
      <c r="G660" s="1" t="s">
        <v>48</v>
      </c>
      <c r="H660" s="1" t="n">
        <v>15</v>
      </c>
      <c r="I660" s="1" t="n">
        <v>1446.6</v>
      </c>
      <c r="J660" s="1" t="n">
        <v>300</v>
      </c>
    </row>
    <row r="661" customFormat="false" ht="15" hidden="false" customHeight="true" outlineLevel="0" collapsed="false">
      <c r="A661" s="1" t="s">
        <v>224</v>
      </c>
      <c r="B661" s="1" t="s">
        <v>55</v>
      </c>
      <c r="C661" s="1" t="s">
        <v>211</v>
      </c>
      <c r="D661" s="1" t="n">
        <v>6</v>
      </c>
      <c r="E661" s="1" t="n">
        <v>24</v>
      </c>
      <c r="F661" s="1" t="s">
        <v>49</v>
      </c>
      <c r="G661" s="1" t="s">
        <v>49</v>
      </c>
      <c r="H661" s="1" t="n">
        <v>39</v>
      </c>
      <c r="I661" s="1" t="n">
        <v>3512.34</v>
      </c>
      <c r="J661" s="1" t="n">
        <v>300</v>
      </c>
    </row>
    <row r="662" customFormat="false" ht="15" hidden="false" customHeight="true" outlineLevel="0" collapsed="false">
      <c r="A662" s="1" t="s">
        <v>225</v>
      </c>
      <c r="B662" s="1" t="s">
        <v>57</v>
      </c>
      <c r="C662" s="1" t="s">
        <v>211</v>
      </c>
      <c r="D662" s="1" t="n">
        <v>6</v>
      </c>
      <c r="E662" s="1" t="n">
        <v>24</v>
      </c>
      <c r="F662" s="1" t="s">
        <v>43</v>
      </c>
      <c r="G662" s="1" t="s">
        <v>44</v>
      </c>
      <c r="H662" s="1" t="n">
        <v>20</v>
      </c>
      <c r="I662" s="1" t="n">
        <v>2491.8</v>
      </c>
      <c r="J662" s="1" t="n">
        <v>300</v>
      </c>
    </row>
    <row r="663" customFormat="false" ht="15" hidden="false" customHeight="true" outlineLevel="0" collapsed="false">
      <c r="A663" s="1" t="s">
        <v>225</v>
      </c>
      <c r="B663" s="1" t="s">
        <v>57</v>
      </c>
      <c r="C663" s="1" t="s">
        <v>211</v>
      </c>
      <c r="D663" s="1" t="n">
        <v>6</v>
      </c>
      <c r="E663" s="1" t="n">
        <v>24</v>
      </c>
      <c r="F663" s="1" t="s">
        <v>45</v>
      </c>
      <c r="G663" s="1" t="s">
        <v>46</v>
      </c>
      <c r="H663" s="1" t="n">
        <v>59</v>
      </c>
      <c r="I663" s="1" t="n">
        <v>6462.86</v>
      </c>
      <c r="J663" s="1" t="n">
        <v>300</v>
      </c>
    </row>
    <row r="664" customFormat="false" ht="15" hidden="false" customHeight="true" outlineLevel="0" collapsed="false">
      <c r="A664" s="1" t="s">
        <v>225</v>
      </c>
      <c r="B664" s="1" t="s">
        <v>57</v>
      </c>
      <c r="C664" s="1" t="s">
        <v>211</v>
      </c>
      <c r="D664" s="1" t="n">
        <v>6</v>
      </c>
      <c r="E664" s="1" t="n">
        <v>24</v>
      </c>
      <c r="F664" s="1" t="s">
        <v>47</v>
      </c>
      <c r="G664" s="1" t="s">
        <v>48</v>
      </c>
      <c r="H664" s="1" t="n">
        <v>16</v>
      </c>
      <c r="I664" s="1" t="n">
        <v>1385.6</v>
      </c>
      <c r="J664" s="1" t="n">
        <v>300</v>
      </c>
    </row>
    <row r="665" customFormat="false" ht="15" hidden="false" customHeight="true" outlineLevel="0" collapsed="false">
      <c r="A665" s="1" t="s">
        <v>225</v>
      </c>
      <c r="B665" s="1" t="s">
        <v>57</v>
      </c>
      <c r="C665" s="1" t="s">
        <v>211</v>
      </c>
      <c r="D665" s="1" t="n">
        <v>6</v>
      </c>
      <c r="E665" s="1" t="n">
        <v>24</v>
      </c>
      <c r="F665" s="1" t="s">
        <v>49</v>
      </c>
      <c r="G665" s="1" t="s">
        <v>49</v>
      </c>
      <c r="H665" s="1" t="n">
        <v>38</v>
      </c>
      <c r="I665" s="1" t="n">
        <v>3431.02</v>
      </c>
      <c r="J665" s="1" t="n">
        <v>300</v>
      </c>
    </row>
    <row r="666" customFormat="false" ht="15" hidden="false" customHeight="true" outlineLevel="0" collapsed="false">
      <c r="A666" s="1" t="s">
        <v>226</v>
      </c>
      <c r="B666" s="1" t="s">
        <v>59</v>
      </c>
      <c r="C666" s="1" t="s">
        <v>211</v>
      </c>
      <c r="D666" s="1" t="n">
        <v>6</v>
      </c>
      <c r="E666" s="1" t="n">
        <v>25</v>
      </c>
      <c r="F666" s="1" t="s">
        <v>43</v>
      </c>
      <c r="G666" s="1" t="s">
        <v>44</v>
      </c>
      <c r="H666" s="1" t="n">
        <v>91</v>
      </c>
      <c r="I666" s="1" t="n">
        <v>11384.1</v>
      </c>
      <c r="J666" s="1" t="n">
        <v>300</v>
      </c>
    </row>
    <row r="667" customFormat="false" ht="15" hidden="false" customHeight="true" outlineLevel="0" collapsed="false">
      <c r="A667" s="1" t="s">
        <v>226</v>
      </c>
      <c r="B667" s="1" t="s">
        <v>59</v>
      </c>
      <c r="C667" s="1" t="s">
        <v>211</v>
      </c>
      <c r="D667" s="1" t="n">
        <v>6</v>
      </c>
      <c r="E667" s="1" t="n">
        <v>25</v>
      </c>
      <c r="F667" s="1" t="s">
        <v>45</v>
      </c>
      <c r="G667" s="1" t="s">
        <v>46</v>
      </c>
      <c r="H667" s="1" t="n">
        <v>25</v>
      </c>
      <c r="I667" s="1" t="n">
        <v>2855.25</v>
      </c>
      <c r="J667" s="1" t="n">
        <v>300</v>
      </c>
    </row>
    <row r="668" customFormat="false" ht="15" hidden="false" customHeight="true" outlineLevel="0" collapsed="false">
      <c r="A668" s="1" t="s">
        <v>226</v>
      </c>
      <c r="B668" s="1" t="s">
        <v>59</v>
      </c>
      <c r="C668" s="1" t="s">
        <v>211</v>
      </c>
      <c r="D668" s="1" t="n">
        <v>6</v>
      </c>
      <c r="E668" s="1" t="n">
        <v>25</v>
      </c>
      <c r="F668" s="1" t="s">
        <v>47</v>
      </c>
      <c r="G668" s="1" t="s">
        <v>48</v>
      </c>
      <c r="H668" s="1" t="n">
        <v>30</v>
      </c>
      <c r="I668" s="1" t="n">
        <v>3210.9</v>
      </c>
      <c r="J668" s="1" t="n">
        <v>300</v>
      </c>
    </row>
    <row r="669" customFormat="false" ht="15" hidden="false" customHeight="true" outlineLevel="0" collapsed="false">
      <c r="A669" s="1" t="s">
        <v>226</v>
      </c>
      <c r="B669" s="1" t="s">
        <v>59</v>
      </c>
      <c r="C669" s="1" t="s">
        <v>211</v>
      </c>
      <c r="D669" s="1" t="n">
        <v>6</v>
      </c>
      <c r="E669" s="1" t="n">
        <v>25</v>
      </c>
      <c r="F669" s="1" t="s">
        <v>49</v>
      </c>
      <c r="G669" s="1" t="s">
        <v>49</v>
      </c>
      <c r="H669" s="1" t="n">
        <v>33</v>
      </c>
      <c r="I669" s="1" t="n">
        <v>2944.92</v>
      </c>
      <c r="J669" s="1" t="n">
        <v>300</v>
      </c>
    </row>
    <row r="670" customFormat="false" ht="15" hidden="false" customHeight="true" outlineLevel="0" collapsed="false">
      <c r="A670" s="1" t="s">
        <v>227</v>
      </c>
      <c r="B670" s="1" t="s">
        <v>61</v>
      </c>
      <c r="C670" s="1" t="s">
        <v>211</v>
      </c>
      <c r="D670" s="1" t="n">
        <v>6</v>
      </c>
      <c r="E670" s="1" t="n">
        <v>25</v>
      </c>
      <c r="F670" s="1" t="s">
        <v>43</v>
      </c>
      <c r="G670" s="1" t="s">
        <v>44</v>
      </c>
      <c r="H670" s="1" t="n">
        <v>97</v>
      </c>
      <c r="I670" s="1" t="n">
        <v>11500.32</v>
      </c>
      <c r="J670" s="1" t="n">
        <v>300</v>
      </c>
    </row>
    <row r="671" customFormat="false" ht="15" hidden="false" customHeight="true" outlineLevel="0" collapsed="false">
      <c r="A671" s="1" t="s">
        <v>227</v>
      </c>
      <c r="B671" s="1" t="s">
        <v>61</v>
      </c>
      <c r="C671" s="1" t="s">
        <v>211</v>
      </c>
      <c r="D671" s="1" t="n">
        <v>6</v>
      </c>
      <c r="E671" s="1" t="n">
        <v>25</v>
      </c>
      <c r="F671" s="1" t="s">
        <v>45</v>
      </c>
      <c r="G671" s="1" t="s">
        <v>46</v>
      </c>
      <c r="H671" s="1" t="n">
        <v>21</v>
      </c>
      <c r="I671" s="1" t="n">
        <v>2257.92</v>
      </c>
      <c r="J671" s="1" t="n">
        <v>300</v>
      </c>
    </row>
    <row r="672" customFormat="false" ht="15" hidden="false" customHeight="true" outlineLevel="0" collapsed="false">
      <c r="A672" s="1" t="s">
        <v>227</v>
      </c>
      <c r="B672" s="1" t="s">
        <v>61</v>
      </c>
      <c r="C672" s="1" t="s">
        <v>211</v>
      </c>
      <c r="D672" s="1" t="n">
        <v>6</v>
      </c>
      <c r="E672" s="1" t="n">
        <v>25</v>
      </c>
      <c r="F672" s="1" t="s">
        <v>47</v>
      </c>
      <c r="G672" s="1" t="s">
        <v>48</v>
      </c>
      <c r="H672" s="1" t="n">
        <v>31</v>
      </c>
      <c r="I672" s="1" t="n">
        <v>3046.06</v>
      </c>
      <c r="J672" s="1" t="n">
        <v>300</v>
      </c>
    </row>
    <row r="673" customFormat="false" ht="15" hidden="false" customHeight="true" outlineLevel="0" collapsed="false">
      <c r="A673" s="1" t="s">
        <v>227</v>
      </c>
      <c r="B673" s="1" t="s">
        <v>61</v>
      </c>
      <c r="C673" s="1" t="s">
        <v>211</v>
      </c>
      <c r="D673" s="1" t="n">
        <v>6</v>
      </c>
      <c r="E673" s="1" t="n">
        <v>25</v>
      </c>
      <c r="F673" s="1" t="s">
        <v>49</v>
      </c>
      <c r="G673" s="1" t="s">
        <v>49</v>
      </c>
      <c r="H673" s="1" t="n">
        <v>34</v>
      </c>
      <c r="I673" s="1" t="n">
        <v>3318.06</v>
      </c>
      <c r="J673" s="1" t="n">
        <v>300</v>
      </c>
    </row>
    <row r="674" customFormat="false" ht="15" hidden="false" customHeight="true" outlineLevel="0" collapsed="false">
      <c r="A674" s="1" t="s">
        <v>228</v>
      </c>
      <c r="B674" s="1" t="s">
        <v>41</v>
      </c>
      <c r="C674" s="1" t="s">
        <v>211</v>
      </c>
      <c r="D674" s="1" t="n">
        <v>6</v>
      </c>
      <c r="E674" s="1" t="n">
        <v>25</v>
      </c>
      <c r="F674" s="1" t="s">
        <v>43</v>
      </c>
      <c r="G674" s="1" t="s">
        <v>44</v>
      </c>
      <c r="H674" s="1" t="n">
        <v>111</v>
      </c>
      <c r="I674" s="1" t="n">
        <v>12210</v>
      </c>
      <c r="J674" s="1" t="n">
        <v>300</v>
      </c>
    </row>
    <row r="675" customFormat="false" ht="15" hidden="false" customHeight="true" outlineLevel="0" collapsed="false">
      <c r="A675" s="1" t="s">
        <v>228</v>
      </c>
      <c r="B675" s="1" t="s">
        <v>41</v>
      </c>
      <c r="C675" s="1" t="s">
        <v>211</v>
      </c>
      <c r="D675" s="1" t="n">
        <v>6</v>
      </c>
      <c r="E675" s="1" t="n">
        <v>25</v>
      </c>
      <c r="F675" s="1" t="s">
        <v>45</v>
      </c>
      <c r="G675" s="1" t="s">
        <v>46</v>
      </c>
      <c r="H675" s="1" t="n">
        <v>17</v>
      </c>
      <c r="I675" s="1" t="n">
        <v>1910.8</v>
      </c>
      <c r="J675" s="1" t="n">
        <v>300</v>
      </c>
    </row>
    <row r="676" customFormat="false" ht="15" hidden="false" customHeight="true" outlineLevel="0" collapsed="false">
      <c r="A676" s="1" t="s">
        <v>228</v>
      </c>
      <c r="B676" s="1" t="s">
        <v>41</v>
      </c>
      <c r="C676" s="1" t="s">
        <v>211</v>
      </c>
      <c r="D676" s="1" t="n">
        <v>6</v>
      </c>
      <c r="E676" s="1" t="n">
        <v>25</v>
      </c>
      <c r="F676" s="1" t="s">
        <v>47</v>
      </c>
      <c r="G676" s="1" t="s">
        <v>48</v>
      </c>
      <c r="H676" s="1" t="n">
        <v>27</v>
      </c>
      <c r="I676" s="1" t="n">
        <v>2616.84</v>
      </c>
      <c r="J676" s="1" t="n">
        <v>300</v>
      </c>
    </row>
    <row r="677" customFormat="false" ht="15" hidden="false" customHeight="true" outlineLevel="0" collapsed="false">
      <c r="A677" s="1" t="s">
        <v>228</v>
      </c>
      <c r="B677" s="1" t="s">
        <v>41</v>
      </c>
      <c r="C677" s="1" t="s">
        <v>211</v>
      </c>
      <c r="D677" s="1" t="n">
        <v>6</v>
      </c>
      <c r="E677" s="1" t="n">
        <v>25</v>
      </c>
      <c r="F677" s="1" t="s">
        <v>49</v>
      </c>
      <c r="G677" s="1" t="s">
        <v>49</v>
      </c>
      <c r="H677" s="1" t="n">
        <v>29</v>
      </c>
      <c r="I677" s="1" t="n">
        <v>2355.67</v>
      </c>
      <c r="J677" s="1" t="n">
        <v>300</v>
      </c>
    </row>
    <row r="678" customFormat="false" ht="15" hidden="false" customHeight="true" outlineLevel="0" collapsed="false">
      <c r="A678" s="1" t="s">
        <v>229</v>
      </c>
      <c r="B678" s="1" t="s">
        <v>51</v>
      </c>
      <c r="C678" s="1" t="s">
        <v>211</v>
      </c>
      <c r="D678" s="1" t="n">
        <v>6</v>
      </c>
      <c r="E678" s="1" t="n">
        <v>25</v>
      </c>
      <c r="F678" s="1" t="s">
        <v>43</v>
      </c>
      <c r="G678" s="1" t="s">
        <v>44</v>
      </c>
      <c r="H678" s="1" t="n">
        <v>108</v>
      </c>
      <c r="I678" s="1" t="n">
        <v>13636.08</v>
      </c>
      <c r="J678" s="1" t="n">
        <v>300</v>
      </c>
    </row>
    <row r="679" customFormat="false" ht="15" hidden="false" customHeight="true" outlineLevel="0" collapsed="false">
      <c r="A679" s="1" t="s">
        <v>229</v>
      </c>
      <c r="B679" s="1" t="s">
        <v>51</v>
      </c>
      <c r="C679" s="1" t="s">
        <v>211</v>
      </c>
      <c r="D679" s="1" t="n">
        <v>6</v>
      </c>
      <c r="E679" s="1" t="n">
        <v>25</v>
      </c>
      <c r="F679" s="1" t="s">
        <v>45</v>
      </c>
      <c r="G679" s="1" t="s">
        <v>46</v>
      </c>
      <c r="H679" s="1" t="n">
        <v>20</v>
      </c>
      <c r="I679" s="1" t="n">
        <v>1797.6</v>
      </c>
      <c r="J679" s="1" t="n">
        <v>300</v>
      </c>
    </row>
    <row r="680" customFormat="false" ht="15" hidden="false" customHeight="true" outlineLevel="0" collapsed="false">
      <c r="A680" s="1" t="s">
        <v>229</v>
      </c>
      <c r="B680" s="1" t="s">
        <v>51</v>
      </c>
      <c r="C680" s="1" t="s">
        <v>211</v>
      </c>
      <c r="D680" s="1" t="n">
        <v>6</v>
      </c>
      <c r="E680" s="1" t="n">
        <v>25</v>
      </c>
      <c r="F680" s="1" t="s">
        <v>47</v>
      </c>
      <c r="G680" s="1" t="s">
        <v>48</v>
      </c>
      <c r="H680" s="1" t="n">
        <v>29</v>
      </c>
      <c r="I680" s="1" t="n">
        <v>2915.95</v>
      </c>
      <c r="J680" s="1" t="n">
        <v>300</v>
      </c>
    </row>
    <row r="681" customFormat="false" ht="15" hidden="false" customHeight="true" outlineLevel="0" collapsed="false">
      <c r="A681" s="1" t="s">
        <v>229</v>
      </c>
      <c r="B681" s="1" t="s">
        <v>51</v>
      </c>
      <c r="C681" s="1" t="s">
        <v>211</v>
      </c>
      <c r="D681" s="1" t="n">
        <v>6</v>
      </c>
      <c r="E681" s="1" t="n">
        <v>25</v>
      </c>
      <c r="F681" s="1" t="s">
        <v>49</v>
      </c>
      <c r="G681" s="1" t="s">
        <v>49</v>
      </c>
      <c r="H681" s="1" t="n">
        <v>28</v>
      </c>
      <c r="I681" s="1" t="n">
        <v>2578.24</v>
      </c>
      <c r="J681" s="1" t="n">
        <v>300</v>
      </c>
    </row>
    <row r="682" customFormat="false" ht="15" hidden="false" customHeight="true" outlineLevel="0" collapsed="false">
      <c r="A682" s="1" t="s">
        <v>230</v>
      </c>
      <c r="B682" s="1" t="s">
        <v>53</v>
      </c>
      <c r="C682" s="1" t="s">
        <v>211</v>
      </c>
      <c r="D682" s="1" t="n">
        <v>6</v>
      </c>
      <c r="E682" s="1" t="n">
        <v>25</v>
      </c>
      <c r="F682" s="1" t="s">
        <v>43</v>
      </c>
      <c r="G682" s="1" t="s">
        <v>44</v>
      </c>
      <c r="H682" s="1" t="n">
        <v>102</v>
      </c>
      <c r="I682" s="1" t="n">
        <v>12744.9</v>
      </c>
      <c r="J682" s="1" t="n">
        <v>300</v>
      </c>
    </row>
    <row r="683" customFormat="false" ht="15" hidden="false" customHeight="true" outlineLevel="0" collapsed="false">
      <c r="A683" s="1" t="s">
        <v>230</v>
      </c>
      <c r="B683" s="1" t="s">
        <v>53</v>
      </c>
      <c r="C683" s="1" t="s">
        <v>211</v>
      </c>
      <c r="D683" s="1" t="n">
        <v>6</v>
      </c>
      <c r="E683" s="1" t="n">
        <v>25</v>
      </c>
      <c r="F683" s="1" t="s">
        <v>45</v>
      </c>
      <c r="G683" s="1" t="s">
        <v>46</v>
      </c>
      <c r="H683" s="1" t="n">
        <v>22</v>
      </c>
      <c r="I683" s="1" t="n">
        <v>2204.84</v>
      </c>
      <c r="J683" s="1" t="n">
        <v>300</v>
      </c>
    </row>
    <row r="684" customFormat="false" ht="15" hidden="false" customHeight="true" outlineLevel="0" collapsed="false">
      <c r="A684" s="1" t="s">
        <v>230</v>
      </c>
      <c r="B684" s="1" t="s">
        <v>53</v>
      </c>
      <c r="C684" s="1" t="s">
        <v>211</v>
      </c>
      <c r="D684" s="1" t="n">
        <v>6</v>
      </c>
      <c r="E684" s="1" t="n">
        <v>25</v>
      </c>
      <c r="F684" s="1" t="s">
        <v>47</v>
      </c>
      <c r="G684" s="1" t="s">
        <v>48</v>
      </c>
      <c r="H684" s="1" t="n">
        <v>33</v>
      </c>
      <c r="I684" s="1" t="n">
        <v>3211.23</v>
      </c>
      <c r="J684" s="1" t="n">
        <v>300</v>
      </c>
    </row>
    <row r="685" customFormat="false" ht="15" hidden="false" customHeight="true" outlineLevel="0" collapsed="false">
      <c r="A685" s="1" t="s">
        <v>230</v>
      </c>
      <c r="B685" s="1" t="s">
        <v>53</v>
      </c>
      <c r="C685" s="1" t="s">
        <v>211</v>
      </c>
      <c r="D685" s="1" t="n">
        <v>6</v>
      </c>
      <c r="E685" s="1" t="n">
        <v>25</v>
      </c>
      <c r="F685" s="1" t="s">
        <v>49</v>
      </c>
      <c r="G685" s="1" t="s">
        <v>49</v>
      </c>
      <c r="H685" s="1" t="n">
        <v>32</v>
      </c>
      <c r="I685" s="1" t="n">
        <v>2751.36</v>
      </c>
      <c r="J685" s="1" t="n">
        <v>300</v>
      </c>
    </row>
    <row r="686" customFormat="false" ht="15" hidden="false" customHeight="true" outlineLevel="0" collapsed="false">
      <c r="A686" s="1" t="s">
        <v>231</v>
      </c>
      <c r="B686" s="1" t="s">
        <v>55</v>
      </c>
      <c r="C686" s="1" t="s">
        <v>211</v>
      </c>
      <c r="D686" s="1" t="n">
        <v>6</v>
      </c>
      <c r="E686" s="1" t="n">
        <v>25</v>
      </c>
      <c r="F686" s="1" t="s">
        <v>43</v>
      </c>
      <c r="G686" s="1" t="s">
        <v>44</v>
      </c>
      <c r="H686" s="1" t="n">
        <v>19</v>
      </c>
      <c r="I686" s="1" t="n">
        <v>2172.65</v>
      </c>
      <c r="J686" s="1" t="n">
        <v>300</v>
      </c>
    </row>
    <row r="687" customFormat="false" ht="15" hidden="false" customHeight="true" outlineLevel="0" collapsed="false">
      <c r="A687" s="1" t="s">
        <v>231</v>
      </c>
      <c r="B687" s="1" t="s">
        <v>55</v>
      </c>
      <c r="C687" s="1" t="s">
        <v>211</v>
      </c>
      <c r="D687" s="1" t="n">
        <v>6</v>
      </c>
      <c r="E687" s="1" t="n">
        <v>25</v>
      </c>
      <c r="F687" s="1" t="s">
        <v>45</v>
      </c>
      <c r="G687" s="1" t="s">
        <v>46</v>
      </c>
      <c r="H687" s="1" t="n">
        <v>58</v>
      </c>
      <c r="I687" s="1" t="n">
        <v>6806.88</v>
      </c>
      <c r="J687" s="1" t="n">
        <v>300</v>
      </c>
    </row>
    <row r="688" customFormat="false" ht="15" hidden="false" customHeight="true" outlineLevel="0" collapsed="false">
      <c r="A688" s="1" t="s">
        <v>231</v>
      </c>
      <c r="B688" s="1" t="s">
        <v>55</v>
      </c>
      <c r="C688" s="1" t="s">
        <v>211</v>
      </c>
      <c r="D688" s="1" t="n">
        <v>6</v>
      </c>
      <c r="E688" s="1" t="n">
        <v>25</v>
      </c>
      <c r="F688" s="1" t="s">
        <v>47</v>
      </c>
      <c r="G688" s="1" t="s">
        <v>48</v>
      </c>
      <c r="H688" s="1" t="n">
        <v>14</v>
      </c>
      <c r="I688" s="1" t="n">
        <v>1242.22</v>
      </c>
      <c r="J688" s="1" t="n">
        <v>300</v>
      </c>
    </row>
    <row r="689" customFormat="false" ht="15" hidden="false" customHeight="true" outlineLevel="0" collapsed="false">
      <c r="A689" s="1" t="s">
        <v>231</v>
      </c>
      <c r="B689" s="1" t="s">
        <v>55</v>
      </c>
      <c r="C689" s="1" t="s">
        <v>211</v>
      </c>
      <c r="D689" s="1" t="n">
        <v>6</v>
      </c>
      <c r="E689" s="1" t="n">
        <v>25</v>
      </c>
      <c r="F689" s="1" t="s">
        <v>49</v>
      </c>
      <c r="G689" s="1" t="s">
        <v>49</v>
      </c>
      <c r="H689" s="1" t="n">
        <v>46</v>
      </c>
      <c r="I689" s="1" t="n">
        <v>4136.78</v>
      </c>
      <c r="J689" s="1" t="n">
        <v>300</v>
      </c>
    </row>
    <row r="690" customFormat="false" ht="15" hidden="false" customHeight="true" outlineLevel="0" collapsed="false">
      <c r="A690" s="1" t="s">
        <v>232</v>
      </c>
      <c r="B690" s="1" t="s">
        <v>57</v>
      </c>
      <c r="C690" s="1" t="s">
        <v>211</v>
      </c>
      <c r="D690" s="1" t="n">
        <v>6</v>
      </c>
      <c r="E690" s="1" t="n">
        <v>25</v>
      </c>
      <c r="F690" s="1" t="s">
        <v>43</v>
      </c>
      <c r="G690" s="1" t="s">
        <v>44</v>
      </c>
      <c r="H690" s="1" t="n">
        <v>18</v>
      </c>
      <c r="I690" s="1" t="n">
        <v>2309.22</v>
      </c>
      <c r="J690" s="1" t="n">
        <v>300</v>
      </c>
    </row>
    <row r="691" customFormat="false" ht="15" hidden="false" customHeight="true" outlineLevel="0" collapsed="false">
      <c r="A691" s="1" t="s">
        <v>232</v>
      </c>
      <c r="B691" s="1" t="s">
        <v>57</v>
      </c>
      <c r="C691" s="1" t="s">
        <v>211</v>
      </c>
      <c r="D691" s="1" t="n">
        <v>6</v>
      </c>
      <c r="E691" s="1" t="n">
        <v>25</v>
      </c>
      <c r="F691" s="1" t="s">
        <v>45</v>
      </c>
      <c r="G691" s="1" t="s">
        <v>46</v>
      </c>
      <c r="H691" s="1" t="n">
        <v>56</v>
      </c>
      <c r="I691" s="1" t="n">
        <v>6613.04</v>
      </c>
      <c r="J691" s="1" t="n">
        <v>300</v>
      </c>
    </row>
    <row r="692" customFormat="false" ht="15" hidden="false" customHeight="true" outlineLevel="0" collapsed="false">
      <c r="A692" s="1" t="s">
        <v>232</v>
      </c>
      <c r="B692" s="1" t="s">
        <v>57</v>
      </c>
      <c r="C692" s="1" t="s">
        <v>211</v>
      </c>
      <c r="D692" s="1" t="n">
        <v>6</v>
      </c>
      <c r="E692" s="1" t="n">
        <v>25</v>
      </c>
      <c r="F692" s="1" t="s">
        <v>47</v>
      </c>
      <c r="G692" s="1" t="s">
        <v>48</v>
      </c>
      <c r="H692" s="1" t="n">
        <v>17</v>
      </c>
      <c r="I692" s="1" t="n">
        <v>1621.29</v>
      </c>
      <c r="J692" s="1" t="n">
        <v>300</v>
      </c>
    </row>
    <row r="693" customFormat="false" ht="15" hidden="false" customHeight="true" outlineLevel="0" collapsed="false">
      <c r="A693" s="1" t="s">
        <v>232</v>
      </c>
      <c r="B693" s="1" t="s">
        <v>57</v>
      </c>
      <c r="C693" s="1" t="s">
        <v>211</v>
      </c>
      <c r="D693" s="1" t="n">
        <v>6</v>
      </c>
      <c r="E693" s="1" t="n">
        <v>25</v>
      </c>
      <c r="F693" s="1" t="s">
        <v>49</v>
      </c>
      <c r="G693" s="1" t="s">
        <v>49</v>
      </c>
      <c r="H693" s="1" t="n">
        <v>49</v>
      </c>
      <c r="I693" s="1" t="n">
        <v>4300.73</v>
      </c>
      <c r="J693" s="1" t="n">
        <v>300</v>
      </c>
    </row>
    <row r="694" customFormat="false" ht="15" hidden="false" customHeight="true" outlineLevel="0" collapsed="false">
      <c r="A694" s="1" t="s">
        <v>233</v>
      </c>
      <c r="B694" s="1" t="s">
        <v>59</v>
      </c>
      <c r="C694" s="1" t="s">
        <v>211</v>
      </c>
      <c r="D694" s="1" t="n">
        <v>6</v>
      </c>
      <c r="E694" s="1" t="n">
        <v>26</v>
      </c>
      <c r="F694" s="1" t="s">
        <v>43</v>
      </c>
      <c r="G694" s="1" t="s">
        <v>44</v>
      </c>
      <c r="H694" s="1" t="n">
        <v>109</v>
      </c>
      <c r="I694" s="1" t="n">
        <v>13398.28</v>
      </c>
      <c r="J694" s="1" t="n">
        <v>300</v>
      </c>
    </row>
    <row r="695" customFormat="false" ht="15" hidden="false" customHeight="true" outlineLevel="0" collapsed="false">
      <c r="A695" s="1" t="s">
        <v>233</v>
      </c>
      <c r="B695" s="1" t="s">
        <v>59</v>
      </c>
      <c r="C695" s="1" t="s">
        <v>211</v>
      </c>
      <c r="D695" s="1" t="n">
        <v>6</v>
      </c>
      <c r="E695" s="1" t="n">
        <v>26</v>
      </c>
      <c r="F695" s="1" t="s">
        <v>45</v>
      </c>
      <c r="G695" s="1" t="s">
        <v>46</v>
      </c>
      <c r="H695" s="1" t="n">
        <v>24</v>
      </c>
      <c r="I695" s="1" t="n">
        <v>2793.6</v>
      </c>
      <c r="J695" s="1" t="n">
        <v>300</v>
      </c>
    </row>
    <row r="696" customFormat="false" ht="15" hidden="false" customHeight="true" outlineLevel="0" collapsed="false">
      <c r="A696" s="1" t="s">
        <v>233</v>
      </c>
      <c r="B696" s="1" t="s">
        <v>59</v>
      </c>
      <c r="C696" s="1" t="s">
        <v>211</v>
      </c>
      <c r="D696" s="1" t="n">
        <v>6</v>
      </c>
      <c r="E696" s="1" t="n">
        <v>26</v>
      </c>
      <c r="F696" s="1" t="s">
        <v>47</v>
      </c>
      <c r="G696" s="1" t="s">
        <v>48</v>
      </c>
      <c r="H696" s="1" t="n">
        <v>30</v>
      </c>
      <c r="I696" s="1" t="n">
        <v>2814</v>
      </c>
      <c r="J696" s="1" t="n">
        <v>300</v>
      </c>
    </row>
    <row r="697" customFormat="false" ht="15" hidden="false" customHeight="true" outlineLevel="0" collapsed="false">
      <c r="A697" s="1" t="s">
        <v>233</v>
      </c>
      <c r="B697" s="1" t="s">
        <v>59</v>
      </c>
      <c r="C697" s="1" t="s">
        <v>211</v>
      </c>
      <c r="D697" s="1" t="n">
        <v>6</v>
      </c>
      <c r="E697" s="1" t="n">
        <v>26</v>
      </c>
      <c r="F697" s="1" t="s">
        <v>49</v>
      </c>
      <c r="G697" s="1" t="s">
        <v>49</v>
      </c>
      <c r="H697" s="1" t="n">
        <v>34</v>
      </c>
      <c r="I697" s="1" t="n">
        <v>2970.92</v>
      </c>
      <c r="J697" s="1" t="n">
        <v>300</v>
      </c>
    </row>
    <row r="698" customFormat="false" ht="15" hidden="false" customHeight="true" outlineLevel="0" collapsed="false">
      <c r="A698" s="1" t="s">
        <v>234</v>
      </c>
      <c r="B698" s="1" t="s">
        <v>61</v>
      </c>
      <c r="C698" s="1" t="s">
        <v>211</v>
      </c>
      <c r="D698" s="1" t="n">
        <v>6</v>
      </c>
      <c r="E698" s="1" t="n">
        <v>26</v>
      </c>
      <c r="F698" s="1" t="s">
        <v>43</v>
      </c>
      <c r="G698" s="1" t="s">
        <v>44</v>
      </c>
      <c r="H698" s="1" t="n">
        <v>121</v>
      </c>
      <c r="I698" s="1" t="n">
        <v>14731.75</v>
      </c>
      <c r="J698" s="1" t="n">
        <v>300</v>
      </c>
    </row>
    <row r="699" customFormat="false" ht="15" hidden="false" customHeight="true" outlineLevel="0" collapsed="false">
      <c r="A699" s="1" t="s">
        <v>234</v>
      </c>
      <c r="B699" s="1" t="s">
        <v>61</v>
      </c>
      <c r="C699" s="1" t="s">
        <v>211</v>
      </c>
      <c r="D699" s="1" t="n">
        <v>6</v>
      </c>
      <c r="E699" s="1" t="n">
        <v>26</v>
      </c>
      <c r="F699" s="1" t="s">
        <v>45</v>
      </c>
      <c r="G699" s="1" t="s">
        <v>46</v>
      </c>
      <c r="H699" s="1" t="n">
        <v>21</v>
      </c>
      <c r="I699" s="1" t="n">
        <v>2259.81</v>
      </c>
      <c r="J699" s="1" t="n">
        <v>300</v>
      </c>
    </row>
    <row r="700" customFormat="false" ht="15" hidden="false" customHeight="true" outlineLevel="0" collapsed="false">
      <c r="A700" s="1" t="s">
        <v>234</v>
      </c>
      <c r="B700" s="1" t="s">
        <v>61</v>
      </c>
      <c r="C700" s="1" t="s">
        <v>211</v>
      </c>
      <c r="D700" s="1" t="n">
        <v>6</v>
      </c>
      <c r="E700" s="1" t="n">
        <v>26</v>
      </c>
      <c r="F700" s="1" t="s">
        <v>47</v>
      </c>
      <c r="G700" s="1" t="s">
        <v>48</v>
      </c>
      <c r="H700" s="1" t="n">
        <v>27</v>
      </c>
      <c r="I700" s="1" t="n">
        <v>2498.04</v>
      </c>
      <c r="J700" s="1" t="n">
        <v>300</v>
      </c>
    </row>
    <row r="701" customFormat="false" ht="15" hidden="false" customHeight="true" outlineLevel="0" collapsed="false">
      <c r="A701" s="1" t="s">
        <v>234</v>
      </c>
      <c r="B701" s="1" t="s">
        <v>61</v>
      </c>
      <c r="C701" s="1" t="s">
        <v>211</v>
      </c>
      <c r="D701" s="1" t="n">
        <v>6</v>
      </c>
      <c r="E701" s="1" t="n">
        <v>26</v>
      </c>
      <c r="F701" s="1" t="s">
        <v>49</v>
      </c>
      <c r="G701" s="1" t="s">
        <v>49</v>
      </c>
      <c r="H701" s="1" t="n">
        <v>36</v>
      </c>
      <c r="I701" s="1" t="n">
        <v>3149.64</v>
      </c>
      <c r="J701" s="1" t="n">
        <v>300</v>
      </c>
    </row>
    <row r="702" customFormat="false" ht="15" hidden="false" customHeight="true" outlineLevel="0" collapsed="false">
      <c r="A702" s="1" t="s">
        <v>235</v>
      </c>
      <c r="B702" s="1" t="s">
        <v>41</v>
      </c>
      <c r="C702" s="1" t="s">
        <v>211</v>
      </c>
      <c r="D702" s="1" t="n">
        <v>6</v>
      </c>
      <c r="E702" s="1" t="n">
        <v>26</v>
      </c>
      <c r="F702" s="1" t="s">
        <v>43</v>
      </c>
      <c r="G702" s="1" t="s">
        <v>44</v>
      </c>
      <c r="H702" s="1" t="n">
        <v>93</v>
      </c>
      <c r="I702" s="1" t="n">
        <v>11591.52</v>
      </c>
      <c r="J702" s="1" t="n">
        <v>300</v>
      </c>
    </row>
    <row r="703" customFormat="false" ht="15" hidden="false" customHeight="true" outlineLevel="0" collapsed="false">
      <c r="A703" s="1" t="s">
        <v>235</v>
      </c>
      <c r="B703" s="1" t="s">
        <v>41</v>
      </c>
      <c r="C703" s="1" t="s">
        <v>211</v>
      </c>
      <c r="D703" s="1" t="n">
        <v>6</v>
      </c>
      <c r="E703" s="1" t="n">
        <v>26</v>
      </c>
      <c r="F703" s="1" t="s">
        <v>45</v>
      </c>
      <c r="G703" s="1" t="s">
        <v>46</v>
      </c>
      <c r="H703" s="1" t="n">
        <v>24</v>
      </c>
      <c r="I703" s="1" t="n">
        <v>2664.48</v>
      </c>
      <c r="J703" s="1" t="n">
        <v>300</v>
      </c>
    </row>
    <row r="704" customFormat="false" ht="15" hidden="false" customHeight="true" outlineLevel="0" collapsed="false">
      <c r="A704" s="1" t="s">
        <v>235</v>
      </c>
      <c r="B704" s="1" t="s">
        <v>41</v>
      </c>
      <c r="C704" s="1" t="s">
        <v>211</v>
      </c>
      <c r="D704" s="1" t="n">
        <v>6</v>
      </c>
      <c r="E704" s="1" t="n">
        <v>26</v>
      </c>
      <c r="F704" s="1" t="s">
        <v>47</v>
      </c>
      <c r="G704" s="1" t="s">
        <v>48</v>
      </c>
      <c r="H704" s="1" t="n">
        <v>33</v>
      </c>
      <c r="I704" s="1" t="n">
        <v>3094.74</v>
      </c>
      <c r="J704" s="1" t="n">
        <v>300</v>
      </c>
    </row>
    <row r="705" customFormat="false" ht="15" hidden="false" customHeight="true" outlineLevel="0" collapsed="false">
      <c r="A705" s="1" t="s">
        <v>235</v>
      </c>
      <c r="B705" s="1" t="s">
        <v>41</v>
      </c>
      <c r="C705" s="1" t="s">
        <v>211</v>
      </c>
      <c r="D705" s="1" t="n">
        <v>6</v>
      </c>
      <c r="E705" s="1" t="n">
        <v>26</v>
      </c>
      <c r="F705" s="1" t="s">
        <v>49</v>
      </c>
      <c r="G705" s="1" t="s">
        <v>49</v>
      </c>
      <c r="H705" s="1" t="n">
        <v>28</v>
      </c>
      <c r="I705" s="1" t="n">
        <v>2779.84</v>
      </c>
      <c r="J705" s="1" t="n">
        <v>300</v>
      </c>
    </row>
    <row r="706" customFormat="false" ht="15" hidden="false" customHeight="true" outlineLevel="0" collapsed="false">
      <c r="A706" s="1" t="s">
        <v>236</v>
      </c>
      <c r="B706" s="1" t="s">
        <v>51</v>
      </c>
      <c r="C706" s="1" t="s">
        <v>211</v>
      </c>
      <c r="D706" s="1" t="n">
        <v>6</v>
      </c>
      <c r="E706" s="1" t="n">
        <v>26</v>
      </c>
      <c r="F706" s="1" t="s">
        <v>43</v>
      </c>
      <c r="G706" s="1" t="s">
        <v>44</v>
      </c>
      <c r="H706" s="1" t="n">
        <v>100</v>
      </c>
      <c r="I706" s="1" t="n">
        <v>11894</v>
      </c>
      <c r="J706" s="1" t="n">
        <v>300</v>
      </c>
    </row>
    <row r="707" customFormat="false" ht="15" hidden="false" customHeight="true" outlineLevel="0" collapsed="false">
      <c r="A707" s="1" t="s">
        <v>236</v>
      </c>
      <c r="B707" s="1" t="s">
        <v>51</v>
      </c>
      <c r="C707" s="1" t="s">
        <v>211</v>
      </c>
      <c r="D707" s="1" t="n">
        <v>6</v>
      </c>
      <c r="E707" s="1" t="n">
        <v>26</v>
      </c>
      <c r="F707" s="1" t="s">
        <v>45</v>
      </c>
      <c r="G707" s="1" t="s">
        <v>46</v>
      </c>
      <c r="H707" s="1" t="n">
        <v>24</v>
      </c>
      <c r="I707" s="1" t="n">
        <v>2639.52</v>
      </c>
      <c r="J707" s="1" t="n">
        <v>300</v>
      </c>
    </row>
    <row r="708" customFormat="false" ht="15" hidden="false" customHeight="true" outlineLevel="0" collapsed="false">
      <c r="A708" s="1" t="s">
        <v>236</v>
      </c>
      <c r="B708" s="1" t="s">
        <v>51</v>
      </c>
      <c r="C708" s="1" t="s">
        <v>211</v>
      </c>
      <c r="D708" s="1" t="n">
        <v>6</v>
      </c>
      <c r="E708" s="1" t="n">
        <v>26</v>
      </c>
      <c r="F708" s="1" t="s">
        <v>47</v>
      </c>
      <c r="G708" s="1" t="s">
        <v>48</v>
      </c>
      <c r="H708" s="1" t="n">
        <v>31</v>
      </c>
      <c r="I708" s="1" t="n">
        <v>3441</v>
      </c>
      <c r="J708" s="1" t="n">
        <v>300</v>
      </c>
    </row>
    <row r="709" customFormat="false" ht="15" hidden="false" customHeight="true" outlineLevel="0" collapsed="false">
      <c r="A709" s="1" t="s">
        <v>236</v>
      </c>
      <c r="B709" s="1" t="s">
        <v>51</v>
      </c>
      <c r="C709" s="1" t="s">
        <v>211</v>
      </c>
      <c r="D709" s="1" t="n">
        <v>6</v>
      </c>
      <c r="E709" s="1" t="n">
        <v>26</v>
      </c>
      <c r="F709" s="1" t="s">
        <v>49</v>
      </c>
      <c r="G709" s="1" t="s">
        <v>49</v>
      </c>
      <c r="H709" s="1" t="n">
        <v>31</v>
      </c>
      <c r="I709" s="1" t="n">
        <v>2980.65</v>
      </c>
      <c r="J709" s="1" t="n">
        <v>300</v>
      </c>
    </row>
    <row r="710" customFormat="false" ht="15" hidden="false" customHeight="true" outlineLevel="0" collapsed="false">
      <c r="A710" s="1" t="s">
        <v>237</v>
      </c>
      <c r="B710" s="1" t="s">
        <v>53</v>
      </c>
      <c r="C710" s="1" t="s">
        <v>211</v>
      </c>
      <c r="D710" s="1" t="n">
        <v>6</v>
      </c>
      <c r="E710" s="1" t="n">
        <v>26</v>
      </c>
      <c r="F710" s="1" t="s">
        <v>43</v>
      </c>
      <c r="G710" s="1" t="s">
        <v>44</v>
      </c>
      <c r="H710" s="1" t="n">
        <v>103</v>
      </c>
      <c r="I710" s="1" t="n">
        <v>12638.1</v>
      </c>
      <c r="J710" s="1" t="n">
        <v>300</v>
      </c>
    </row>
    <row r="711" customFormat="false" ht="15" hidden="false" customHeight="true" outlineLevel="0" collapsed="false">
      <c r="A711" s="1" t="s">
        <v>237</v>
      </c>
      <c r="B711" s="1" t="s">
        <v>53</v>
      </c>
      <c r="C711" s="1" t="s">
        <v>211</v>
      </c>
      <c r="D711" s="1" t="n">
        <v>6</v>
      </c>
      <c r="E711" s="1" t="n">
        <v>26</v>
      </c>
      <c r="F711" s="1" t="s">
        <v>45</v>
      </c>
      <c r="G711" s="1" t="s">
        <v>46</v>
      </c>
      <c r="H711" s="1" t="n">
        <v>25</v>
      </c>
      <c r="I711" s="1" t="n">
        <v>2741.75</v>
      </c>
      <c r="J711" s="1" t="n">
        <v>300</v>
      </c>
    </row>
    <row r="712" customFormat="false" ht="15" hidden="false" customHeight="true" outlineLevel="0" collapsed="false">
      <c r="A712" s="1" t="s">
        <v>237</v>
      </c>
      <c r="B712" s="1" t="s">
        <v>53</v>
      </c>
      <c r="C712" s="1" t="s">
        <v>211</v>
      </c>
      <c r="D712" s="1" t="n">
        <v>6</v>
      </c>
      <c r="E712" s="1" t="n">
        <v>26</v>
      </c>
      <c r="F712" s="1" t="s">
        <v>47</v>
      </c>
      <c r="G712" s="1" t="s">
        <v>48</v>
      </c>
      <c r="H712" s="1" t="n">
        <v>32</v>
      </c>
      <c r="I712" s="1" t="n">
        <v>3345.92</v>
      </c>
      <c r="J712" s="1" t="n">
        <v>300</v>
      </c>
    </row>
    <row r="713" customFormat="false" ht="15" hidden="false" customHeight="true" outlineLevel="0" collapsed="false">
      <c r="A713" s="1" t="s">
        <v>237</v>
      </c>
      <c r="B713" s="1" t="s">
        <v>53</v>
      </c>
      <c r="C713" s="1" t="s">
        <v>211</v>
      </c>
      <c r="D713" s="1" t="n">
        <v>6</v>
      </c>
      <c r="E713" s="1" t="n">
        <v>26</v>
      </c>
      <c r="F713" s="1" t="s">
        <v>49</v>
      </c>
      <c r="G713" s="1" t="s">
        <v>49</v>
      </c>
      <c r="H713" s="1" t="n">
        <v>31</v>
      </c>
      <c r="I713" s="1" t="n">
        <v>2681.19</v>
      </c>
      <c r="J713" s="1" t="n">
        <v>300</v>
      </c>
    </row>
    <row r="714" customFormat="false" ht="15" hidden="false" customHeight="true" outlineLevel="0" collapsed="false">
      <c r="A714" s="1" t="s">
        <v>238</v>
      </c>
      <c r="B714" s="1" t="s">
        <v>55</v>
      </c>
      <c r="C714" s="1" t="s">
        <v>211</v>
      </c>
      <c r="D714" s="1" t="n">
        <v>6</v>
      </c>
      <c r="E714" s="1" t="n">
        <v>26</v>
      </c>
      <c r="F714" s="1" t="s">
        <v>43</v>
      </c>
      <c r="G714" s="1" t="s">
        <v>44</v>
      </c>
      <c r="H714" s="1" t="n">
        <v>18</v>
      </c>
      <c r="I714" s="1" t="n">
        <v>1917.18</v>
      </c>
      <c r="J714" s="1" t="n">
        <v>300</v>
      </c>
    </row>
    <row r="715" customFormat="false" ht="15" hidden="false" customHeight="true" outlineLevel="0" collapsed="false">
      <c r="A715" s="1" t="s">
        <v>238</v>
      </c>
      <c r="B715" s="1" t="s">
        <v>55</v>
      </c>
      <c r="C715" s="1" t="s">
        <v>211</v>
      </c>
      <c r="D715" s="1" t="n">
        <v>6</v>
      </c>
      <c r="E715" s="1" t="n">
        <v>26</v>
      </c>
      <c r="F715" s="1" t="s">
        <v>45</v>
      </c>
      <c r="G715" s="1" t="s">
        <v>46</v>
      </c>
      <c r="H715" s="1" t="n">
        <v>70</v>
      </c>
      <c r="I715" s="1" t="n">
        <v>6956.6</v>
      </c>
      <c r="J715" s="1" t="n">
        <v>300</v>
      </c>
    </row>
    <row r="716" customFormat="false" ht="15" hidden="false" customHeight="true" outlineLevel="0" collapsed="false">
      <c r="A716" s="1" t="s">
        <v>238</v>
      </c>
      <c r="B716" s="1" t="s">
        <v>55</v>
      </c>
      <c r="C716" s="1" t="s">
        <v>211</v>
      </c>
      <c r="D716" s="1" t="n">
        <v>6</v>
      </c>
      <c r="E716" s="1" t="n">
        <v>26</v>
      </c>
      <c r="F716" s="1" t="s">
        <v>47</v>
      </c>
      <c r="G716" s="1" t="s">
        <v>48</v>
      </c>
      <c r="H716" s="1" t="n">
        <v>16</v>
      </c>
      <c r="I716" s="1" t="n">
        <v>1545.76</v>
      </c>
      <c r="J716" s="1" t="n">
        <v>300</v>
      </c>
    </row>
    <row r="717" customFormat="false" ht="15" hidden="false" customHeight="true" outlineLevel="0" collapsed="false">
      <c r="A717" s="1" t="s">
        <v>238</v>
      </c>
      <c r="B717" s="1" t="s">
        <v>55</v>
      </c>
      <c r="C717" s="1" t="s">
        <v>211</v>
      </c>
      <c r="D717" s="1" t="n">
        <v>6</v>
      </c>
      <c r="E717" s="1" t="n">
        <v>26</v>
      </c>
      <c r="F717" s="1" t="s">
        <v>49</v>
      </c>
      <c r="G717" s="1" t="s">
        <v>49</v>
      </c>
      <c r="H717" s="1" t="n">
        <v>42</v>
      </c>
      <c r="I717" s="1" t="n">
        <v>4012.68</v>
      </c>
      <c r="J717" s="1" t="n">
        <v>300</v>
      </c>
    </row>
    <row r="718" customFormat="false" ht="15" hidden="false" customHeight="true" outlineLevel="0" collapsed="false">
      <c r="A718" s="1" t="s">
        <v>239</v>
      </c>
      <c r="B718" s="1" t="s">
        <v>57</v>
      </c>
      <c r="C718" s="1" t="s">
        <v>211</v>
      </c>
      <c r="D718" s="1" t="n">
        <v>6</v>
      </c>
      <c r="E718" s="1" t="n">
        <v>26</v>
      </c>
      <c r="F718" s="1" t="s">
        <v>43</v>
      </c>
      <c r="G718" s="1" t="s">
        <v>44</v>
      </c>
      <c r="H718" s="1" t="n">
        <v>21</v>
      </c>
      <c r="I718" s="1" t="n">
        <v>2447.13</v>
      </c>
      <c r="J718" s="1" t="n">
        <v>300</v>
      </c>
    </row>
    <row r="719" customFormat="false" ht="15" hidden="false" customHeight="true" outlineLevel="0" collapsed="false">
      <c r="A719" s="1" t="s">
        <v>239</v>
      </c>
      <c r="B719" s="1" t="s">
        <v>57</v>
      </c>
      <c r="C719" s="1" t="s">
        <v>211</v>
      </c>
      <c r="D719" s="1" t="n">
        <v>6</v>
      </c>
      <c r="E719" s="1" t="n">
        <v>26</v>
      </c>
      <c r="F719" s="1" t="s">
        <v>45</v>
      </c>
      <c r="G719" s="1" t="s">
        <v>46</v>
      </c>
      <c r="H719" s="1" t="n">
        <v>59</v>
      </c>
      <c r="I719" s="1" t="n">
        <v>6385.57</v>
      </c>
      <c r="J719" s="1" t="n">
        <v>300</v>
      </c>
    </row>
    <row r="720" customFormat="false" ht="15" hidden="false" customHeight="true" outlineLevel="0" collapsed="false">
      <c r="A720" s="1" t="s">
        <v>239</v>
      </c>
      <c r="B720" s="1" t="s">
        <v>57</v>
      </c>
      <c r="C720" s="1" t="s">
        <v>211</v>
      </c>
      <c r="D720" s="1" t="n">
        <v>6</v>
      </c>
      <c r="E720" s="1" t="n">
        <v>26</v>
      </c>
      <c r="F720" s="1" t="s">
        <v>47</v>
      </c>
      <c r="G720" s="1" t="s">
        <v>48</v>
      </c>
      <c r="H720" s="1" t="n">
        <v>16</v>
      </c>
      <c r="I720" s="1" t="n">
        <v>1723.52</v>
      </c>
      <c r="J720" s="1" t="n">
        <v>300</v>
      </c>
    </row>
    <row r="721" customFormat="false" ht="15" hidden="false" customHeight="true" outlineLevel="0" collapsed="false">
      <c r="A721" s="1" t="s">
        <v>239</v>
      </c>
      <c r="B721" s="1" t="s">
        <v>57</v>
      </c>
      <c r="C721" s="1" t="s">
        <v>211</v>
      </c>
      <c r="D721" s="1" t="n">
        <v>6</v>
      </c>
      <c r="E721" s="1" t="n">
        <v>26</v>
      </c>
      <c r="F721" s="1" t="s">
        <v>49</v>
      </c>
      <c r="G721" s="1" t="s">
        <v>49</v>
      </c>
      <c r="H721" s="1" t="n">
        <v>43</v>
      </c>
      <c r="I721" s="1" t="n">
        <v>4088.87</v>
      </c>
      <c r="J721" s="1" t="n">
        <v>300</v>
      </c>
    </row>
    <row r="722" customFormat="false" ht="15" hidden="false" customHeight="true" outlineLevel="0" collapsed="false">
      <c r="A722" s="1" t="s">
        <v>240</v>
      </c>
      <c r="B722" s="1" t="s">
        <v>59</v>
      </c>
      <c r="C722" s="1" t="s">
        <v>211</v>
      </c>
      <c r="D722" s="1" t="n">
        <v>6</v>
      </c>
      <c r="E722" s="1" t="n">
        <v>27</v>
      </c>
      <c r="F722" s="1" t="s">
        <v>43</v>
      </c>
      <c r="G722" s="1" t="s">
        <v>44</v>
      </c>
      <c r="H722" s="1" t="n">
        <v>109</v>
      </c>
      <c r="I722" s="1" t="n">
        <v>14089.34</v>
      </c>
      <c r="J722" s="1" t="n">
        <v>300</v>
      </c>
    </row>
    <row r="723" customFormat="false" ht="15" hidden="false" customHeight="true" outlineLevel="0" collapsed="false">
      <c r="A723" s="1" t="s">
        <v>240</v>
      </c>
      <c r="B723" s="1" t="s">
        <v>59</v>
      </c>
      <c r="C723" s="1" t="s">
        <v>211</v>
      </c>
      <c r="D723" s="1" t="n">
        <v>6</v>
      </c>
      <c r="E723" s="1" t="n">
        <v>27</v>
      </c>
      <c r="F723" s="1" t="s">
        <v>45</v>
      </c>
      <c r="G723" s="1" t="s">
        <v>46</v>
      </c>
      <c r="H723" s="1" t="n">
        <v>22</v>
      </c>
      <c r="I723" s="1" t="n">
        <v>2159.3</v>
      </c>
      <c r="J723" s="1" t="n">
        <v>300</v>
      </c>
    </row>
    <row r="724" customFormat="false" ht="15" hidden="false" customHeight="true" outlineLevel="0" collapsed="false">
      <c r="A724" s="1" t="s">
        <v>240</v>
      </c>
      <c r="B724" s="1" t="s">
        <v>59</v>
      </c>
      <c r="C724" s="1" t="s">
        <v>211</v>
      </c>
      <c r="D724" s="1" t="n">
        <v>6</v>
      </c>
      <c r="E724" s="1" t="n">
        <v>27</v>
      </c>
      <c r="F724" s="1" t="s">
        <v>47</v>
      </c>
      <c r="G724" s="1" t="s">
        <v>48</v>
      </c>
      <c r="H724" s="1" t="n">
        <v>31</v>
      </c>
      <c r="I724" s="1" t="n">
        <v>2926.4</v>
      </c>
      <c r="J724" s="1" t="n">
        <v>300</v>
      </c>
    </row>
    <row r="725" customFormat="false" ht="15" hidden="false" customHeight="true" outlineLevel="0" collapsed="false">
      <c r="A725" s="1" t="s">
        <v>240</v>
      </c>
      <c r="B725" s="1" t="s">
        <v>59</v>
      </c>
      <c r="C725" s="1" t="s">
        <v>211</v>
      </c>
      <c r="D725" s="1" t="n">
        <v>6</v>
      </c>
      <c r="E725" s="1" t="n">
        <v>27</v>
      </c>
      <c r="F725" s="1" t="s">
        <v>49</v>
      </c>
      <c r="G725" s="1" t="s">
        <v>49</v>
      </c>
      <c r="H725" s="1" t="n">
        <v>31</v>
      </c>
      <c r="I725" s="1" t="n">
        <v>2922.68</v>
      </c>
      <c r="J725" s="1" t="n">
        <v>300</v>
      </c>
    </row>
    <row r="726" customFormat="false" ht="15" hidden="false" customHeight="true" outlineLevel="0" collapsed="false">
      <c r="A726" s="1" t="s">
        <v>241</v>
      </c>
      <c r="B726" s="1" t="s">
        <v>61</v>
      </c>
      <c r="C726" s="1" t="s">
        <v>242</v>
      </c>
      <c r="D726" s="1" t="n">
        <v>7</v>
      </c>
      <c r="E726" s="1" t="n">
        <v>27</v>
      </c>
      <c r="F726" s="1" t="s">
        <v>43</v>
      </c>
      <c r="G726" s="1" t="s">
        <v>44</v>
      </c>
      <c r="H726" s="1" t="n">
        <v>100</v>
      </c>
      <c r="I726" s="1" t="n">
        <v>11635</v>
      </c>
      <c r="J726" s="1" t="n">
        <v>300</v>
      </c>
    </row>
    <row r="727" customFormat="false" ht="15" hidden="false" customHeight="true" outlineLevel="0" collapsed="false">
      <c r="A727" s="1" t="s">
        <v>241</v>
      </c>
      <c r="B727" s="1" t="s">
        <v>61</v>
      </c>
      <c r="C727" s="1" t="s">
        <v>242</v>
      </c>
      <c r="D727" s="1" t="n">
        <v>7</v>
      </c>
      <c r="E727" s="1" t="n">
        <v>27</v>
      </c>
      <c r="F727" s="1" t="s">
        <v>45</v>
      </c>
      <c r="G727" s="1" t="s">
        <v>46</v>
      </c>
      <c r="H727" s="1" t="n">
        <v>20</v>
      </c>
      <c r="I727" s="1" t="n">
        <v>2257.4</v>
      </c>
      <c r="J727" s="1" t="n">
        <v>300</v>
      </c>
    </row>
    <row r="728" customFormat="false" ht="15" hidden="false" customHeight="true" outlineLevel="0" collapsed="false">
      <c r="A728" s="1" t="s">
        <v>241</v>
      </c>
      <c r="B728" s="1" t="s">
        <v>61</v>
      </c>
      <c r="C728" s="1" t="s">
        <v>242</v>
      </c>
      <c r="D728" s="1" t="n">
        <v>7</v>
      </c>
      <c r="E728" s="1" t="n">
        <v>27</v>
      </c>
      <c r="F728" s="1" t="s">
        <v>47</v>
      </c>
      <c r="G728" s="1" t="s">
        <v>48</v>
      </c>
      <c r="H728" s="1" t="n">
        <v>27</v>
      </c>
      <c r="I728" s="1" t="n">
        <v>2950.83</v>
      </c>
      <c r="J728" s="1" t="n">
        <v>300</v>
      </c>
    </row>
    <row r="729" customFormat="false" ht="15" hidden="false" customHeight="true" outlineLevel="0" collapsed="false">
      <c r="A729" s="1" t="s">
        <v>241</v>
      </c>
      <c r="B729" s="1" t="s">
        <v>61</v>
      </c>
      <c r="C729" s="1" t="s">
        <v>242</v>
      </c>
      <c r="D729" s="1" t="n">
        <v>7</v>
      </c>
      <c r="E729" s="1" t="n">
        <v>27</v>
      </c>
      <c r="F729" s="1" t="s">
        <v>49</v>
      </c>
      <c r="G729" s="1" t="s">
        <v>49</v>
      </c>
      <c r="H729" s="1" t="n">
        <v>30</v>
      </c>
      <c r="I729" s="1" t="n">
        <v>2351.4</v>
      </c>
      <c r="J729" s="1" t="n">
        <v>300</v>
      </c>
    </row>
    <row r="730" customFormat="false" ht="15" hidden="false" customHeight="true" outlineLevel="0" collapsed="false">
      <c r="A730" s="1" t="s">
        <v>243</v>
      </c>
      <c r="B730" s="1" t="s">
        <v>41</v>
      </c>
      <c r="C730" s="1" t="s">
        <v>242</v>
      </c>
      <c r="D730" s="1" t="n">
        <v>7</v>
      </c>
      <c r="E730" s="1" t="n">
        <v>27</v>
      </c>
      <c r="F730" s="1" t="s">
        <v>43</v>
      </c>
      <c r="G730" s="1" t="s">
        <v>44</v>
      </c>
      <c r="H730" s="1" t="n">
        <v>96</v>
      </c>
      <c r="I730" s="1" t="n">
        <v>11410.56</v>
      </c>
      <c r="J730" s="1" t="n">
        <v>300</v>
      </c>
    </row>
    <row r="731" customFormat="false" ht="15" hidden="false" customHeight="true" outlineLevel="0" collapsed="false">
      <c r="A731" s="1" t="s">
        <v>243</v>
      </c>
      <c r="B731" s="1" t="s">
        <v>41</v>
      </c>
      <c r="C731" s="1" t="s">
        <v>242</v>
      </c>
      <c r="D731" s="1" t="n">
        <v>7</v>
      </c>
      <c r="E731" s="1" t="n">
        <v>27</v>
      </c>
      <c r="F731" s="1" t="s">
        <v>45</v>
      </c>
      <c r="G731" s="1" t="s">
        <v>46</v>
      </c>
      <c r="H731" s="1" t="n">
        <v>21</v>
      </c>
      <c r="I731" s="1" t="n">
        <v>2237.55</v>
      </c>
      <c r="J731" s="1" t="n">
        <v>300</v>
      </c>
    </row>
    <row r="732" customFormat="false" ht="15" hidden="false" customHeight="true" outlineLevel="0" collapsed="false">
      <c r="A732" s="1" t="s">
        <v>243</v>
      </c>
      <c r="B732" s="1" t="s">
        <v>41</v>
      </c>
      <c r="C732" s="1" t="s">
        <v>242</v>
      </c>
      <c r="D732" s="1" t="n">
        <v>7</v>
      </c>
      <c r="E732" s="1" t="n">
        <v>27</v>
      </c>
      <c r="F732" s="1" t="s">
        <v>47</v>
      </c>
      <c r="G732" s="1" t="s">
        <v>48</v>
      </c>
      <c r="H732" s="1" t="n">
        <v>26</v>
      </c>
      <c r="I732" s="1" t="n">
        <v>2277.34</v>
      </c>
      <c r="J732" s="1" t="n">
        <v>300</v>
      </c>
    </row>
    <row r="733" customFormat="false" ht="15" hidden="false" customHeight="true" outlineLevel="0" collapsed="false">
      <c r="A733" s="1" t="s">
        <v>243</v>
      </c>
      <c r="B733" s="1" t="s">
        <v>41</v>
      </c>
      <c r="C733" s="1" t="s">
        <v>242</v>
      </c>
      <c r="D733" s="1" t="n">
        <v>7</v>
      </c>
      <c r="E733" s="1" t="n">
        <v>27</v>
      </c>
      <c r="F733" s="1" t="s">
        <v>49</v>
      </c>
      <c r="G733" s="1" t="s">
        <v>49</v>
      </c>
      <c r="H733" s="1" t="n">
        <v>28</v>
      </c>
      <c r="I733" s="1" t="n">
        <v>2328.76</v>
      </c>
      <c r="J733" s="1" t="n">
        <v>300</v>
      </c>
    </row>
    <row r="734" customFormat="false" ht="15" hidden="false" customHeight="true" outlineLevel="0" collapsed="false">
      <c r="A734" s="1" t="s">
        <v>244</v>
      </c>
      <c r="B734" s="1" t="s">
        <v>51</v>
      </c>
      <c r="C734" s="1" t="s">
        <v>242</v>
      </c>
      <c r="D734" s="1" t="n">
        <v>7</v>
      </c>
      <c r="E734" s="1" t="n">
        <v>27</v>
      </c>
      <c r="F734" s="1" t="s">
        <v>43</v>
      </c>
      <c r="G734" s="1" t="s">
        <v>44</v>
      </c>
      <c r="H734" s="1" t="n">
        <v>86</v>
      </c>
      <c r="I734" s="1" t="n">
        <v>10345.8</v>
      </c>
      <c r="J734" s="1" t="n">
        <v>300</v>
      </c>
    </row>
    <row r="735" customFormat="false" ht="15" hidden="false" customHeight="true" outlineLevel="0" collapsed="false">
      <c r="A735" s="1" t="s">
        <v>244</v>
      </c>
      <c r="B735" s="1" t="s">
        <v>51</v>
      </c>
      <c r="C735" s="1" t="s">
        <v>242</v>
      </c>
      <c r="D735" s="1" t="n">
        <v>7</v>
      </c>
      <c r="E735" s="1" t="n">
        <v>27</v>
      </c>
      <c r="F735" s="1" t="s">
        <v>45</v>
      </c>
      <c r="G735" s="1" t="s">
        <v>46</v>
      </c>
      <c r="H735" s="1" t="n">
        <v>22</v>
      </c>
      <c r="I735" s="1" t="n">
        <v>2306.48</v>
      </c>
      <c r="J735" s="1" t="n">
        <v>300</v>
      </c>
    </row>
    <row r="736" customFormat="false" ht="15" hidden="false" customHeight="true" outlineLevel="0" collapsed="false">
      <c r="A736" s="1" t="s">
        <v>244</v>
      </c>
      <c r="B736" s="1" t="s">
        <v>51</v>
      </c>
      <c r="C736" s="1" t="s">
        <v>242</v>
      </c>
      <c r="D736" s="1" t="n">
        <v>7</v>
      </c>
      <c r="E736" s="1" t="n">
        <v>27</v>
      </c>
      <c r="F736" s="1" t="s">
        <v>47</v>
      </c>
      <c r="G736" s="1" t="s">
        <v>48</v>
      </c>
      <c r="H736" s="1" t="n">
        <v>24</v>
      </c>
      <c r="I736" s="1" t="n">
        <v>2329.44</v>
      </c>
      <c r="J736" s="1" t="n">
        <v>300</v>
      </c>
    </row>
    <row r="737" customFormat="false" ht="15" hidden="false" customHeight="true" outlineLevel="0" collapsed="false">
      <c r="A737" s="1" t="s">
        <v>244</v>
      </c>
      <c r="B737" s="1" t="s">
        <v>51</v>
      </c>
      <c r="C737" s="1" t="s">
        <v>242</v>
      </c>
      <c r="D737" s="1" t="n">
        <v>7</v>
      </c>
      <c r="E737" s="1" t="n">
        <v>27</v>
      </c>
      <c r="F737" s="1" t="s">
        <v>49</v>
      </c>
      <c r="G737" s="1" t="s">
        <v>49</v>
      </c>
      <c r="H737" s="1" t="n">
        <v>32</v>
      </c>
      <c r="I737" s="1" t="n">
        <v>2701.76</v>
      </c>
      <c r="J737" s="1" t="n">
        <v>300</v>
      </c>
    </row>
    <row r="738" customFormat="false" ht="15" hidden="false" customHeight="true" outlineLevel="0" collapsed="false">
      <c r="A738" s="1" t="s">
        <v>245</v>
      </c>
      <c r="B738" s="1" t="s">
        <v>53</v>
      </c>
      <c r="C738" s="1" t="s">
        <v>242</v>
      </c>
      <c r="D738" s="1" t="n">
        <v>7</v>
      </c>
      <c r="E738" s="1" t="n">
        <v>27</v>
      </c>
      <c r="F738" s="1" t="s">
        <v>43</v>
      </c>
      <c r="G738" s="1" t="s">
        <v>44</v>
      </c>
      <c r="H738" s="1" t="n">
        <v>89</v>
      </c>
      <c r="I738" s="1" t="n">
        <v>10350.7</v>
      </c>
      <c r="J738" s="1" t="n">
        <v>300</v>
      </c>
    </row>
    <row r="739" customFormat="false" ht="15" hidden="false" customHeight="true" outlineLevel="0" collapsed="false">
      <c r="A739" s="1" t="s">
        <v>245</v>
      </c>
      <c r="B739" s="1" t="s">
        <v>53</v>
      </c>
      <c r="C739" s="1" t="s">
        <v>242</v>
      </c>
      <c r="D739" s="1" t="n">
        <v>7</v>
      </c>
      <c r="E739" s="1" t="n">
        <v>27</v>
      </c>
      <c r="F739" s="1" t="s">
        <v>45</v>
      </c>
      <c r="G739" s="1" t="s">
        <v>46</v>
      </c>
      <c r="H739" s="1" t="n">
        <v>18</v>
      </c>
      <c r="I739" s="1" t="n">
        <v>1915.2</v>
      </c>
      <c r="J739" s="1" t="n">
        <v>300</v>
      </c>
    </row>
    <row r="740" customFormat="false" ht="15" hidden="false" customHeight="true" outlineLevel="0" collapsed="false">
      <c r="A740" s="1" t="s">
        <v>245</v>
      </c>
      <c r="B740" s="1" t="s">
        <v>53</v>
      </c>
      <c r="C740" s="1" t="s">
        <v>242</v>
      </c>
      <c r="D740" s="1" t="n">
        <v>7</v>
      </c>
      <c r="E740" s="1" t="n">
        <v>27</v>
      </c>
      <c r="F740" s="1" t="s">
        <v>47</v>
      </c>
      <c r="G740" s="1" t="s">
        <v>48</v>
      </c>
      <c r="H740" s="1" t="n">
        <v>26</v>
      </c>
      <c r="I740" s="1" t="n">
        <v>2519.66</v>
      </c>
      <c r="J740" s="1" t="n">
        <v>300</v>
      </c>
    </row>
    <row r="741" customFormat="false" ht="15" hidden="false" customHeight="true" outlineLevel="0" collapsed="false">
      <c r="A741" s="1" t="s">
        <v>245</v>
      </c>
      <c r="B741" s="1" t="s">
        <v>53</v>
      </c>
      <c r="C741" s="1" t="s">
        <v>242</v>
      </c>
      <c r="D741" s="1" t="n">
        <v>7</v>
      </c>
      <c r="E741" s="1" t="n">
        <v>27</v>
      </c>
      <c r="F741" s="1" t="s">
        <v>49</v>
      </c>
      <c r="G741" s="1" t="s">
        <v>49</v>
      </c>
      <c r="H741" s="1" t="n">
        <v>26</v>
      </c>
      <c r="I741" s="1" t="n">
        <v>2218.84</v>
      </c>
      <c r="J741" s="1" t="n">
        <v>300</v>
      </c>
    </row>
    <row r="742" customFormat="false" ht="15" hidden="false" customHeight="true" outlineLevel="0" collapsed="false">
      <c r="A742" s="1" t="s">
        <v>246</v>
      </c>
      <c r="B742" s="1" t="s">
        <v>55</v>
      </c>
      <c r="C742" s="1" t="s">
        <v>242</v>
      </c>
      <c r="D742" s="1" t="n">
        <v>7</v>
      </c>
      <c r="E742" s="1" t="n">
        <v>27</v>
      </c>
      <c r="F742" s="1" t="s">
        <v>43</v>
      </c>
      <c r="G742" s="1" t="s">
        <v>44</v>
      </c>
      <c r="H742" s="1" t="n">
        <v>18</v>
      </c>
      <c r="I742" s="1" t="n">
        <v>2044.8</v>
      </c>
      <c r="J742" s="1" t="n">
        <v>300</v>
      </c>
    </row>
    <row r="743" customFormat="false" ht="15" hidden="false" customHeight="true" outlineLevel="0" collapsed="false">
      <c r="A743" s="1" t="s">
        <v>246</v>
      </c>
      <c r="B743" s="1" t="s">
        <v>55</v>
      </c>
      <c r="C743" s="1" t="s">
        <v>242</v>
      </c>
      <c r="D743" s="1" t="n">
        <v>7</v>
      </c>
      <c r="E743" s="1" t="n">
        <v>27</v>
      </c>
      <c r="F743" s="1" t="s">
        <v>45</v>
      </c>
      <c r="G743" s="1" t="s">
        <v>46</v>
      </c>
      <c r="H743" s="1" t="n">
        <v>60</v>
      </c>
      <c r="I743" s="1" t="n">
        <v>5997.6</v>
      </c>
      <c r="J743" s="1" t="n">
        <v>300</v>
      </c>
    </row>
    <row r="744" customFormat="false" ht="15" hidden="false" customHeight="true" outlineLevel="0" collapsed="false">
      <c r="A744" s="1" t="s">
        <v>246</v>
      </c>
      <c r="B744" s="1" t="s">
        <v>55</v>
      </c>
      <c r="C744" s="1" t="s">
        <v>242</v>
      </c>
      <c r="D744" s="1" t="n">
        <v>7</v>
      </c>
      <c r="E744" s="1" t="n">
        <v>27</v>
      </c>
      <c r="F744" s="1" t="s">
        <v>47</v>
      </c>
      <c r="G744" s="1" t="s">
        <v>48</v>
      </c>
      <c r="H744" s="1" t="n">
        <v>15</v>
      </c>
      <c r="I744" s="1" t="n">
        <v>1497.3</v>
      </c>
      <c r="J744" s="1" t="n">
        <v>300</v>
      </c>
    </row>
    <row r="745" customFormat="false" ht="15" hidden="false" customHeight="true" outlineLevel="0" collapsed="false">
      <c r="A745" s="1" t="s">
        <v>246</v>
      </c>
      <c r="B745" s="1" t="s">
        <v>55</v>
      </c>
      <c r="C745" s="1" t="s">
        <v>242</v>
      </c>
      <c r="D745" s="1" t="n">
        <v>7</v>
      </c>
      <c r="E745" s="1" t="n">
        <v>27</v>
      </c>
      <c r="F745" s="1" t="s">
        <v>49</v>
      </c>
      <c r="G745" s="1" t="s">
        <v>49</v>
      </c>
      <c r="H745" s="1" t="n">
        <v>31</v>
      </c>
      <c r="I745" s="1" t="n">
        <v>2429.78</v>
      </c>
      <c r="J745" s="1" t="n">
        <v>300</v>
      </c>
    </row>
    <row r="746" customFormat="false" ht="15" hidden="false" customHeight="true" outlineLevel="0" collapsed="false">
      <c r="A746" s="1" t="s">
        <v>247</v>
      </c>
      <c r="B746" s="1" t="s">
        <v>57</v>
      </c>
      <c r="C746" s="1" t="s">
        <v>242</v>
      </c>
      <c r="D746" s="1" t="n">
        <v>7</v>
      </c>
      <c r="E746" s="1" t="n">
        <v>27</v>
      </c>
      <c r="F746" s="1" t="s">
        <v>43</v>
      </c>
      <c r="G746" s="1" t="s">
        <v>44</v>
      </c>
      <c r="H746" s="1" t="n">
        <v>15</v>
      </c>
      <c r="I746" s="1" t="n">
        <v>1875</v>
      </c>
      <c r="J746" s="1" t="n">
        <v>300</v>
      </c>
    </row>
    <row r="747" customFormat="false" ht="15" hidden="false" customHeight="true" outlineLevel="0" collapsed="false">
      <c r="A747" s="1" t="s">
        <v>247</v>
      </c>
      <c r="B747" s="1" t="s">
        <v>57</v>
      </c>
      <c r="C747" s="1" t="s">
        <v>242</v>
      </c>
      <c r="D747" s="1" t="n">
        <v>7</v>
      </c>
      <c r="E747" s="1" t="n">
        <v>27</v>
      </c>
      <c r="F747" s="1" t="s">
        <v>45</v>
      </c>
      <c r="G747" s="1" t="s">
        <v>46</v>
      </c>
      <c r="H747" s="1" t="n">
        <v>50</v>
      </c>
      <c r="I747" s="1" t="n">
        <v>5906.5</v>
      </c>
      <c r="J747" s="1" t="n">
        <v>300</v>
      </c>
    </row>
    <row r="748" customFormat="false" ht="15" hidden="false" customHeight="true" outlineLevel="0" collapsed="false">
      <c r="A748" s="1" t="s">
        <v>247</v>
      </c>
      <c r="B748" s="1" t="s">
        <v>57</v>
      </c>
      <c r="C748" s="1" t="s">
        <v>242</v>
      </c>
      <c r="D748" s="1" t="n">
        <v>7</v>
      </c>
      <c r="E748" s="1" t="n">
        <v>27</v>
      </c>
      <c r="F748" s="1" t="s">
        <v>47</v>
      </c>
      <c r="G748" s="1" t="s">
        <v>48</v>
      </c>
      <c r="H748" s="1" t="n">
        <v>14</v>
      </c>
      <c r="I748" s="1" t="n">
        <v>1338.12</v>
      </c>
      <c r="J748" s="1" t="n">
        <v>300</v>
      </c>
    </row>
    <row r="749" customFormat="false" ht="15" hidden="false" customHeight="true" outlineLevel="0" collapsed="false">
      <c r="A749" s="1" t="s">
        <v>247</v>
      </c>
      <c r="B749" s="1" t="s">
        <v>57</v>
      </c>
      <c r="C749" s="1" t="s">
        <v>242</v>
      </c>
      <c r="D749" s="1" t="n">
        <v>7</v>
      </c>
      <c r="E749" s="1" t="n">
        <v>27</v>
      </c>
      <c r="F749" s="1" t="s">
        <v>49</v>
      </c>
      <c r="G749" s="1" t="s">
        <v>49</v>
      </c>
      <c r="H749" s="1" t="n">
        <v>41</v>
      </c>
      <c r="I749" s="1" t="n">
        <v>4025.79</v>
      </c>
      <c r="J749" s="1" t="n">
        <v>300</v>
      </c>
    </row>
    <row r="750" customFormat="false" ht="15" hidden="false" customHeight="true" outlineLevel="0" collapsed="false">
      <c r="A750" s="1" t="s">
        <v>248</v>
      </c>
      <c r="B750" s="1" t="s">
        <v>59</v>
      </c>
      <c r="C750" s="1" t="s">
        <v>242</v>
      </c>
      <c r="D750" s="1" t="n">
        <v>7</v>
      </c>
      <c r="E750" s="1" t="n">
        <v>28</v>
      </c>
      <c r="F750" s="1" t="s">
        <v>43</v>
      </c>
      <c r="G750" s="1" t="s">
        <v>44</v>
      </c>
      <c r="H750" s="1" t="n">
        <v>107</v>
      </c>
      <c r="I750" s="1" t="n">
        <v>13334.34</v>
      </c>
      <c r="J750" s="1" t="n">
        <v>300</v>
      </c>
    </row>
    <row r="751" customFormat="false" ht="15" hidden="false" customHeight="true" outlineLevel="0" collapsed="false">
      <c r="A751" s="1" t="s">
        <v>248</v>
      </c>
      <c r="B751" s="1" t="s">
        <v>59</v>
      </c>
      <c r="C751" s="1" t="s">
        <v>242</v>
      </c>
      <c r="D751" s="1" t="n">
        <v>7</v>
      </c>
      <c r="E751" s="1" t="n">
        <v>28</v>
      </c>
      <c r="F751" s="1" t="s">
        <v>45</v>
      </c>
      <c r="G751" s="1" t="s">
        <v>46</v>
      </c>
      <c r="H751" s="1" t="n">
        <v>21</v>
      </c>
      <c r="I751" s="1" t="n">
        <v>2227.05</v>
      </c>
      <c r="J751" s="1" t="n">
        <v>300</v>
      </c>
    </row>
    <row r="752" customFormat="false" ht="15" hidden="false" customHeight="true" outlineLevel="0" collapsed="false">
      <c r="A752" s="1" t="s">
        <v>248</v>
      </c>
      <c r="B752" s="1" t="s">
        <v>59</v>
      </c>
      <c r="C752" s="1" t="s">
        <v>242</v>
      </c>
      <c r="D752" s="1" t="n">
        <v>7</v>
      </c>
      <c r="E752" s="1" t="n">
        <v>28</v>
      </c>
      <c r="F752" s="1" t="s">
        <v>47</v>
      </c>
      <c r="G752" s="1" t="s">
        <v>48</v>
      </c>
      <c r="H752" s="1" t="n">
        <v>28</v>
      </c>
      <c r="I752" s="1" t="n">
        <v>2559.48</v>
      </c>
      <c r="J752" s="1" t="n">
        <v>300</v>
      </c>
    </row>
    <row r="753" customFormat="false" ht="15" hidden="false" customHeight="true" outlineLevel="0" collapsed="false">
      <c r="A753" s="1" t="s">
        <v>248</v>
      </c>
      <c r="B753" s="1" t="s">
        <v>59</v>
      </c>
      <c r="C753" s="1" t="s">
        <v>242</v>
      </c>
      <c r="D753" s="1" t="n">
        <v>7</v>
      </c>
      <c r="E753" s="1" t="n">
        <v>28</v>
      </c>
      <c r="F753" s="1" t="s">
        <v>49</v>
      </c>
      <c r="G753" s="1" t="s">
        <v>49</v>
      </c>
      <c r="H753" s="1" t="n">
        <v>26</v>
      </c>
      <c r="I753" s="1" t="n">
        <v>2278.12</v>
      </c>
      <c r="J753" s="1" t="n">
        <v>300</v>
      </c>
    </row>
    <row r="754" customFormat="false" ht="15" hidden="false" customHeight="true" outlineLevel="0" collapsed="false">
      <c r="A754" s="1" t="s">
        <v>249</v>
      </c>
      <c r="B754" s="1" t="s">
        <v>61</v>
      </c>
      <c r="C754" s="1" t="s">
        <v>242</v>
      </c>
      <c r="D754" s="1" t="n">
        <v>7</v>
      </c>
      <c r="E754" s="1" t="n">
        <v>28</v>
      </c>
      <c r="F754" s="1" t="s">
        <v>43</v>
      </c>
      <c r="G754" s="1" t="s">
        <v>44</v>
      </c>
      <c r="H754" s="1" t="n">
        <v>89</v>
      </c>
      <c r="I754" s="1" t="n">
        <v>10060.56</v>
      </c>
      <c r="J754" s="1" t="n">
        <v>300</v>
      </c>
    </row>
    <row r="755" customFormat="false" ht="15" hidden="false" customHeight="true" outlineLevel="0" collapsed="false">
      <c r="A755" s="1" t="s">
        <v>249</v>
      </c>
      <c r="B755" s="1" t="s">
        <v>61</v>
      </c>
      <c r="C755" s="1" t="s">
        <v>242</v>
      </c>
      <c r="D755" s="1" t="n">
        <v>7</v>
      </c>
      <c r="E755" s="1" t="n">
        <v>28</v>
      </c>
      <c r="F755" s="1" t="s">
        <v>45</v>
      </c>
      <c r="G755" s="1" t="s">
        <v>46</v>
      </c>
      <c r="H755" s="1" t="n">
        <v>20</v>
      </c>
      <c r="I755" s="1" t="n">
        <v>2165.6</v>
      </c>
      <c r="J755" s="1" t="n">
        <v>300</v>
      </c>
    </row>
    <row r="756" customFormat="false" ht="15" hidden="false" customHeight="true" outlineLevel="0" collapsed="false">
      <c r="A756" s="1" t="s">
        <v>249</v>
      </c>
      <c r="B756" s="1" t="s">
        <v>61</v>
      </c>
      <c r="C756" s="1" t="s">
        <v>242</v>
      </c>
      <c r="D756" s="1" t="n">
        <v>7</v>
      </c>
      <c r="E756" s="1" t="n">
        <v>28</v>
      </c>
      <c r="F756" s="1" t="s">
        <v>47</v>
      </c>
      <c r="G756" s="1" t="s">
        <v>48</v>
      </c>
      <c r="H756" s="1" t="n">
        <v>27</v>
      </c>
      <c r="I756" s="1" t="n">
        <v>2778.57</v>
      </c>
      <c r="J756" s="1" t="n">
        <v>300</v>
      </c>
    </row>
    <row r="757" customFormat="false" ht="15" hidden="false" customHeight="true" outlineLevel="0" collapsed="false">
      <c r="A757" s="1" t="s">
        <v>249</v>
      </c>
      <c r="B757" s="1" t="s">
        <v>61</v>
      </c>
      <c r="C757" s="1" t="s">
        <v>242</v>
      </c>
      <c r="D757" s="1" t="n">
        <v>7</v>
      </c>
      <c r="E757" s="1" t="n">
        <v>28</v>
      </c>
      <c r="F757" s="1" t="s">
        <v>49</v>
      </c>
      <c r="G757" s="1" t="s">
        <v>49</v>
      </c>
      <c r="H757" s="1" t="n">
        <v>26</v>
      </c>
      <c r="I757" s="1" t="n">
        <v>2252.12</v>
      </c>
      <c r="J757" s="1" t="n">
        <v>300</v>
      </c>
    </row>
    <row r="758" customFormat="false" ht="15" hidden="false" customHeight="true" outlineLevel="0" collapsed="false">
      <c r="A758" s="1" t="s">
        <v>250</v>
      </c>
      <c r="B758" s="1" t="s">
        <v>41</v>
      </c>
      <c r="C758" s="1" t="s">
        <v>242</v>
      </c>
      <c r="D758" s="1" t="n">
        <v>7</v>
      </c>
      <c r="E758" s="1" t="n">
        <v>28</v>
      </c>
      <c r="F758" s="1" t="s">
        <v>43</v>
      </c>
      <c r="G758" s="1" t="s">
        <v>44</v>
      </c>
      <c r="H758" s="1" t="n">
        <v>84</v>
      </c>
      <c r="I758" s="1" t="n">
        <v>8667.12</v>
      </c>
      <c r="J758" s="1" t="n">
        <v>300</v>
      </c>
    </row>
    <row r="759" customFormat="false" ht="15" hidden="false" customHeight="true" outlineLevel="0" collapsed="false">
      <c r="A759" s="1" t="s">
        <v>250</v>
      </c>
      <c r="B759" s="1" t="s">
        <v>41</v>
      </c>
      <c r="C759" s="1" t="s">
        <v>242</v>
      </c>
      <c r="D759" s="1" t="n">
        <v>7</v>
      </c>
      <c r="E759" s="1" t="n">
        <v>28</v>
      </c>
      <c r="F759" s="1" t="s">
        <v>45</v>
      </c>
      <c r="G759" s="1" t="s">
        <v>46</v>
      </c>
      <c r="H759" s="1" t="n">
        <v>19</v>
      </c>
      <c r="I759" s="1" t="n">
        <v>1931.54</v>
      </c>
      <c r="J759" s="1" t="n">
        <v>300</v>
      </c>
    </row>
    <row r="760" customFormat="false" ht="15" hidden="false" customHeight="true" outlineLevel="0" collapsed="false">
      <c r="A760" s="1" t="s">
        <v>250</v>
      </c>
      <c r="B760" s="1" t="s">
        <v>41</v>
      </c>
      <c r="C760" s="1" t="s">
        <v>242</v>
      </c>
      <c r="D760" s="1" t="n">
        <v>7</v>
      </c>
      <c r="E760" s="1" t="n">
        <v>28</v>
      </c>
      <c r="F760" s="1" t="s">
        <v>47</v>
      </c>
      <c r="G760" s="1" t="s">
        <v>48</v>
      </c>
      <c r="H760" s="1" t="n">
        <v>30</v>
      </c>
      <c r="I760" s="1" t="n">
        <v>2943.3</v>
      </c>
      <c r="J760" s="1" t="n">
        <v>300</v>
      </c>
    </row>
    <row r="761" customFormat="false" ht="15" hidden="false" customHeight="true" outlineLevel="0" collapsed="false">
      <c r="A761" s="1" t="s">
        <v>250</v>
      </c>
      <c r="B761" s="1" t="s">
        <v>41</v>
      </c>
      <c r="C761" s="1" t="s">
        <v>242</v>
      </c>
      <c r="D761" s="1" t="n">
        <v>7</v>
      </c>
      <c r="E761" s="1" t="n">
        <v>28</v>
      </c>
      <c r="F761" s="1" t="s">
        <v>49</v>
      </c>
      <c r="G761" s="1" t="s">
        <v>49</v>
      </c>
      <c r="H761" s="1" t="n">
        <v>26</v>
      </c>
      <c r="I761" s="1" t="n">
        <v>2532.14</v>
      </c>
      <c r="J761" s="1" t="n">
        <v>300</v>
      </c>
    </row>
    <row r="762" customFormat="false" ht="15" hidden="false" customHeight="true" outlineLevel="0" collapsed="false">
      <c r="A762" s="1" t="s">
        <v>251</v>
      </c>
      <c r="B762" s="1" t="s">
        <v>51</v>
      </c>
      <c r="C762" s="1" t="s">
        <v>242</v>
      </c>
      <c r="D762" s="1" t="n">
        <v>7</v>
      </c>
      <c r="E762" s="1" t="n">
        <v>28</v>
      </c>
      <c r="F762" s="1" t="s">
        <v>43</v>
      </c>
      <c r="G762" s="1" t="s">
        <v>44</v>
      </c>
      <c r="H762" s="1" t="n">
        <v>100</v>
      </c>
      <c r="I762" s="1" t="n">
        <v>12026</v>
      </c>
      <c r="J762" s="1" t="n">
        <v>300</v>
      </c>
    </row>
    <row r="763" customFormat="false" ht="15" hidden="false" customHeight="true" outlineLevel="0" collapsed="false">
      <c r="A763" s="1" t="s">
        <v>251</v>
      </c>
      <c r="B763" s="1" t="s">
        <v>51</v>
      </c>
      <c r="C763" s="1" t="s">
        <v>242</v>
      </c>
      <c r="D763" s="1" t="n">
        <v>7</v>
      </c>
      <c r="E763" s="1" t="n">
        <v>28</v>
      </c>
      <c r="F763" s="1" t="s">
        <v>45</v>
      </c>
      <c r="G763" s="1" t="s">
        <v>46</v>
      </c>
      <c r="H763" s="1" t="n">
        <v>19</v>
      </c>
      <c r="I763" s="1" t="n">
        <v>1833.88</v>
      </c>
      <c r="J763" s="1" t="n">
        <v>300</v>
      </c>
    </row>
    <row r="764" customFormat="false" ht="15" hidden="false" customHeight="true" outlineLevel="0" collapsed="false">
      <c r="A764" s="1" t="s">
        <v>251</v>
      </c>
      <c r="B764" s="1" t="s">
        <v>51</v>
      </c>
      <c r="C764" s="1" t="s">
        <v>242</v>
      </c>
      <c r="D764" s="1" t="n">
        <v>7</v>
      </c>
      <c r="E764" s="1" t="n">
        <v>28</v>
      </c>
      <c r="F764" s="1" t="s">
        <v>47</v>
      </c>
      <c r="G764" s="1" t="s">
        <v>48</v>
      </c>
      <c r="H764" s="1" t="n">
        <v>26</v>
      </c>
      <c r="I764" s="1" t="n">
        <v>2618.46</v>
      </c>
      <c r="J764" s="1" t="n">
        <v>300</v>
      </c>
    </row>
    <row r="765" customFormat="false" ht="15" hidden="false" customHeight="true" outlineLevel="0" collapsed="false">
      <c r="A765" s="1" t="s">
        <v>251</v>
      </c>
      <c r="B765" s="1" t="s">
        <v>51</v>
      </c>
      <c r="C765" s="1" t="s">
        <v>242</v>
      </c>
      <c r="D765" s="1" t="n">
        <v>7</v>
      </c>
      <c r="E765" s="1" t="n">
        <v>28</v>
      </c>
      <c r="F765" s="1" t="s">
        <v>49</v>
      </c>
      <c r="G765" s="1" t="s">
        <v>49</v>
      </c>
      <c r="H765" s="1" t="n">
        <v>33</v>
      </c>
      <c r="I765" s="1" t="n">
        <v>3160.08</v>
      </c>
      <c r="J765" s="1" t="n">
        <v>300</v>
      </c>
    </row>
    <row r="766" customFormat="false" ht="15" hidden="false" customHeight="true" outlineLevel="0" collapsed="false">
      <c r="A766" s="1" t="s">
        <v>252</v>
      </c>
      <c r="B766" s="1" t="s">
        <v>53</v>
      </c>
      <c r="C766" s="1" t="s">
        <v>242</v>
      </c>
      <c r="D766" s="1" t="n">
        <v>7</v>
      </c>
      <c r="E766" s="1" t="n">
        <v>28</v>
      </c>
      <c r="F766" s="1" t="s">
        <v>43</v>
      </c>
      <c r="G766" s="1" t="s">
        <v>44</v>
      </c>
      <c r="H766" s="1" t="n">
        <v>86</v>
      </c>
      <c r="I766" s="1" t="n">
        <v>9321.54</v>
      </c>
      <c r="J766" s="1" t="n">
        <v>300</v>
      </c>
    </row>
    <row r="767" customFormat="false" ht="15" hidden="false" customHeight="true" outlineLevel="0" collapsed="false">
      <c r="A767" s="1" t="s">
        <v>252</v>
      </c>
      <c r="B767" s="1" t="s">
        <v>53</v>
      </c>
      <c r="C767" s="1" t="s">
        <v>242</v>
      </c>
      <c r="D767" s="1" t="n">
        <v>7</v>
      </c>
      <c r="E767" s="1" t="n">
        <v>28</v>
      </c>
      <c r="F767" s="1" t="s">
        <v>45</v>
      </c>
      <c r="G767" s="1" t="s">
        <v>46</v>
      </c>
      <c r="H767" s="1" t="n">
        <v>19</v>
      </c>
      <c r="I767" s="1" t="n">
        <v>1739.45</v>
      </c>
      <c r="J767" s="1" t="n">
        <v>300</v>
      </c>
    </row>
    <row r="768" customFormat="false" ht="15" hidden="false" customHeight="true" outlineLevel="0" collapsed="false">
      <c r="A768" s="1" t="s">
        <v>252</v>
      </c>
      <c r="B768" s="1" t="s">
        <v>53</v>
      </c>
      <c r="C768" s="1" t="s">
        <v>242</v>
      </c>
      <c r="D768" s="1" t="n">
        <v>7</v>
      </c>
      <c r="E768" s="1" t="n">
        <v>28</v>
      </c>
      <c r="F768" s="1" t="s">
        <v>47</v>
      </c>
      <c r="G768" s="1" t="s">
        <v>48</v>
      </c>
      <c r="H768" s="1" t="n">
        <v>27</v>
      </c>
      <c r="I768" s="1" t="n">
        <v>2529.9</v>
      </c>
      <c r="J768" s="1" t="n">
        <v>300</v>
      </c>
    </row>
    <row r="769" customFormat="false" ht="15" hidden="false" customHeight="true" outlineLevel="0" collapsed="false">
      <c r="A769" s="1" t="s">
        <v>252</v>
      </c>
      <c r="B769" s="1" t="s">
        <v>53</v>
      </c>
      <c r="C769" s="1" t="s">
        <v>242</v>
      </c>
      <c r="D769" s="1" t="n">
        <v>7</v>
      </c>
      <c r="E769" s="1" t="n">
        <v>28</v>
      </c>
      <c r="F769" s="1" t="s">
        <v>49</v>
      </c>
      <c r="G769" s="1" t="s">
        <v>49</v>
      </c>
      <c r="H769" s="1" t="n">
        <v>27</v>
      </c>
      <c r="I769" s="1" t="n">
        <v>2140.02</v>
      </c>
      <c r="J769" s="1" t="n">
        <v>300</v>
      </c>
    </row>
    <row r="770" customFormat="false" ht="15" hidden="false" customHeight="true" outlineLevel="0" collapsed="false">
      <c r="A770" s="1" t="s">
        <v>253</v>
      </c>
      <c r="B770" s="1" t="s">
        <v>55</v>
      </c>
      <c r="C770" s="1" t="s">
        <v>242</v>
      </c>
      <c r="D770" s="1" t="n">
        <v>7</v>
      </c>
      <c r="E770" s="1" t="n">
        <v>28</v>
      </c>
      <c r="F770" s="1" t="s">
        <v>43</v>
      </c>
      <c r="G770" s="1" t="s">
        <v>44</v>
      </c>
      <c r="H770" s="1" t="n">
        <v>18</v>
      </c>
      <c r="I770" s="1" t="n">
        <v>2024.64</v>
      </c>
      <c r="J770" s="1" t="n">
        <v>300</v>
      </c>
    </row>
    <row r="771" customFormat="false" ht="15" hidden="false" customHeight="true" outlineLevel="0" collapsed="false">
      <c r="A771" s="1" t="s">
        <v>253</v>
      </c>
      <c r="B771" s="1" t="s">
        <v>55</v>
      </c>
      <c r="C771" s="1" t="s">
        <v>242</v>
      </c>
      <c r="D771" s="1" t="n">
        <v>7</v>
      </c>
      <c r="E771" s="1" t="n">
        <v>28</v>
      </c>
      <c r="F771" s="1" t="s">
        <v>45</v>
      </c>
      <c r="G771" s="1" t="s">
        <v>46</v>
      </c>
      <c r="H771" s="1" t="n">
        <v>47</v>
      </c>
      <c r="I771" s="1" t="n">
        <v>3983.72</v>
      </c>
      <c r="J771" s="1" t="n">
        <v>300</v>
      </c>
    </row>
    <row r="772" customFormat="false" ht="15" hidden="false" customHeight="true" outlineLevel="0" collapsed="false">
      <c r="A772" s="1" t="s">
        <v>253</v>
      </c>
      <c r="B772" s="1" t="s">
        <v>55</v>
      </c>
      <c r="C772" s="1" t="s">
        <v>242</v>
      </c>
      <c r="D772" s="1" t="n">
        <v>7</v>
      </c>
      <c r="E772" s="1" t="n">
        <v>28</v>
      </c>
      <c r="F772" s="1" t="s">
        <v>47</v>
      </c>
      <c r="G772" s="1" t="s">
        <v>48</v>
      </c>
      <c r="H772" s="1" t="n">
        <v>14</v>
      </c>
      <c r="I772" s="1" t="n">
        <v>1464.26</v>
      </c>
      <c r="J772" s="1" t="n">
        <v>300</v>
      </c>
    </row>
    <row r="773" customFormat="false" ht="15" hidden="false" customHeight="true" outlineLevel="0" collapsed="false">
      <c r="A773" s="1" t="s">
        <v>253</v>
      </c>
      <c r="B773" s="1" t="s">
        <v>55</v>
      </c>
      <c r="C773" s="1" t="s">
        <v>242</v>
      </c>
      <c r="D773" s="1" t="n">
        <v>7</v>
      </c>
      <c r="E773" s="1" t="n">
        <v>28</v>
      </c>
      <c r="F773" s="1" t="s">
        <v>49</v>
      </c>
      <c r="G773" s="1" t="s">
        <v>49</v>
      </c>
      <c r="H773" s="1" t="n">
        <v>41</v>
      </c>
      <c r="I773" s="1" t="n">
        <v>3494.84</v>
      </c>
      <c r="J773" s="1" t="n">
        <v>300</v>
      </c>
    </row>
    <row r="774" customFormat="false" ht="15" hidden="false" customHeight="true" outlineLevel="0" collapsed="false">
      <c r="A774" s="1" t="s">
        <v>254</v>
      </c>
      <c r="B774" s="1" t="s">
        <v>57</v>
      </c>
      <c r="C774" s="1" t="s">
        <v>242</v>
      </c>
      <c r="D774" s="1" t="n">
        <v>7</v>
      </c>
      <c r="E774" s="1" t="n">
        <v>28</v>
      </c>
      <c r="F774" s="1" t="s">
        <v>43</v>
      </c>
      <c r="G774" s="1" t="s">
        <v>44</v>
      </c>
      <c r="H774" s="1" t="n">
        <v>16</v>
      </c>
      <c r="I774" s="1" t="n">
        <v>1911.52</v>
      </c>
      <c r="J774" s="1" t="n">
        <v>300</v>
      </c>
    </row>
    <row r="775" customFormat="false" ht="15" hidden="false" customHeight="true" outlineLevel="0" collapsed="false">
      <c r="A775" s="1" t="s">
        <v>254</v>
      </c>
      <c r="B775" s="1" t="s">
        <v>57</v>
      </c>
      <c r="C775" s="1" t="s">
        <v>242</v>
      </c>
      <c r="D775" s="1" t="n">
        <v>7</v>
      </c>
      <c r="E775" s="1" t="n">
        <v>28</v>
      </c>
      <c r="F775" s="1" t="s">
        <v>45</v>
      </c>
      <c r="G775" s="1" t="s">
        <v>46</v>
      </c>
      <c r="H775" s="1" t="n">
        <v>48</v>
      </c>
      <c r="I775" s="1" t="n">
        <v>5004.96</v>
      </c>
      <c r="J775" s="1" t="n">
        <v>300</v>
      </c>
    </row>
    <row r="776" customFormat="false" ht="15" hidden="false" customHeight="true" outlineLevel="0" collapsed="false">
      <c r="A776" s="1" t="s">
        <v>254</v>
      </c>
      <c r="B776" s="1" t="s">
        <v>57</v>
      </c>
      <c r="C776" s="1" t="s">
        <v>242</v>
      </c>
      <c r="D776" s="1" t="n">
        <v>7</v>
      </c>
      <c r="E776" s="1" t="n">
        <v>28</v>
      </c>
      <c r="F776" s="1" t="s">
        <v>47</v>
      </c>
      <c r="G776" s="1" t="s">
        <v>48</v>
      </c>
      <c r="H776" s="1" t="n">
        <v>15</v>
      </c>
      <c r="I776" s="1" t="n">
        <v>1522.35</v>
      </c>
      <c r="J776" s="1" t="n">
        <v>300</v>
      </c>
    </row>
    <row r="777" customFormat="false" ht="15" hidden="false" customHeight="true" outlineLevel="0" collapsed="false">
      <c r="A777" s="1" t="s">
        <v>254</v>
      </c>
      <c r="B777" s="1" t="s">
        <v>57</v>
      </c>
      <c r="C777" s="1" t="s">
        <v>242</v>
      </c>
      <c r="D777" s="1" t="n">
        <v>7</v>
      </c>
      <c r="E777" s="1" t="n">
        <v>28</v>
      </c>
      <c r="F777" s="1" t="s">
        <v>49</v>
      </c>
      <c r="G777" s="1" t="s">
        <v>49</v>
      </c>
      <c r="H777" s="1" t="n">
        <v>36</v>
      </c>
      <c r="I777" s="1" t="n">
        <v>3116.52</v>
      </c>
      <c r="J777" s="1" t="n">
        <v>300</v>
      </c>
    </row>
    <row r="778" customFormat="false" ht="15" hidden="false" customHeight="true" outlineLevel="0" collapsed="false">
      <c r="A778" s="1" t="s">
        <v>255</v>
      </c>
      <c r="B778" s="1" t="s">
        <v>59</v>
      </c>
      <c r="C778" s="1" t="s">
        <v>242</v>
      </c>
      <c r="D778" s="1" t="n">
        <v>7</v>
      </c>
      <c r="E778" s="1" t="n">
        <v>29</v>
      </c>
      <c r="F778" s="1" t="s">
        <v>43</v>
      </c>
      <c r="G778" s="1" t="s">
        <v>44</v>
      </c>
      <c r="H778" s="1" t="n">
        <v>83</v>
      </c>
      <c r="I778" s="1" t="n">
        <v>9165.69</v>
      </c>
      <c r="J778" s="1" t="n">
        <v>300</v>
      </c>
    </row>
    <row r="779" customFormat="false" ht="15" hidden="false" customHeight="true" outlineLevel="0" collapsed="false">
      <c r="A779" s="1" t="s">
        <v>255</v>
      </c>
      <c r="B779" s="1" t="s">
        <v>59</v>
      </c>
      <c r="C779" s="1" t="s">
        <v>242</v>
      </c>
      <c r="D779" s="1" t="n">
        <v>7</v>
      </c>
      <c r="E779" s="1" t="n">
        <v>29</v>
      </c>
      <c r="F779" s="1" t="s">
        <v>45</v>
      </c>
      <c r="G779" s="1" t="s">
        <v>46</v>
      </c>
      <c r="H779" s="1" t="n">
        <v>19</v>
      </c>
      <c r="I779" s="1" t="n">
        <v>1988.73</v>
      </c>
      <c r="J779" s="1" t="n">
        <v>300</v>
      </c>
    </row>
    <row r="780" customFormat="false" ht="15" hidden="false" customHeight="true" outlineLevel="0" collapsed="false">
      <c r="A780" s="1" t="s">
        <v>255</v>
      </c>
      <c r="B780" s="1" t="s">
        <v>59</v>
      </c>
      <c r="C780" s="1" t="s">
        <v>242</v>
      </c>
      <c r="D780" s="1" t="n">
        <v>7</v>
      </c>
      <c r="E780" s="1" t="n">
        <v>29</v>
      </c>
      <c r="F780" s="1" t="s">
        <v>47</v>
      </c>
      <c r="G780" s="1" t="s">
        <v>48</v>
      </c>
      <c r="H780" s="1" t="n">
        <v>29</v>
      </c>
      <c r="I780" s="1" t="n">
        <v>2609.42</v>
      </c>
      <c r="J780" s="1" t="n">
        <v>300</v>
      </c>
    </row>
    <row r="781" customFormat="false" ht="15" hidden="false" customHeight="true" outlineLevel="0" collapsed="false">
      <c r="A781" s="1" t="s">
        <v>255</v>
      </c>
      <c r="B781" s="1" t="s">
        <v>59</v>
      </c>
      <c r="C781" s="1" t="s">
        <v>242</v>
      </c>
      <c r="D781" s="1" t="n">
        <v>7</v>
      </c>
      <c r="E781" s="1" t="n">
        <v>29</v>
      </c>
      <c r="F781" s="1" t="s">
        <v>49</v>
      </c>
      <c r="G781" s="1" t="s">
        <v>49</v>
      </c>
      <c r="H781" s="1" t="n">
        <v>32</v>
      </c>
      <c r="I781" s="1" t="n">
        <v>2759.04</v>
      </c>
      <c r="J781" s="1" t="n">
        <v>300</v>
      </c>
    </row>
    <row r="782" customFormat="false" ht="15" hidden="false" customHeight="true" outlineLevel="0" collapsed="false">
      <c r="A782" s="1" t="s">
        <v>256</v>
      </c>
      <c r="B782" s="1" t="s">
        <v>61</v>
      </c>
      <c r="C782" s="1" t="s">
        <v>242</v>
      </c>
      <c r="D782" s="1" t="n">
        <v>7</v>
      </c>
      <c r="E782" s="1" t="n">
        <v>29</v>
      </c>
      <c r="F782" s="1" t="s">
        <v>43</v>
      </c>
      <c r="G782" s="1" t="s">
        <v>44</v>
      </c>
      <c r="H782" s="1" t="n">
        <v>90</v>
      </c>
      <c r="I782" s="1" t="n">
        <v>9989.1</v>
      </c>
      <c r="J782" s="1" t="n">
        <v>300</v>
      </c>
    </row>
    <row r="783" customFormat="false" ht="15" hidden="false" customHeight="true" outlineLevel="0" collapsed="false">
      <c r="A783" s="1" t="s">
        <v>256</v>
      </c>
      <c r="B783" s="1" t="s">
        <v>61</v>
      </c>
      <c r="C783" s="1" t="s">
        <v>242</v>
      </c>
      <c r="D783" s="1" t="n">
        <v>7</v>
      </c>
      <c r="E783" s="1" t="n">
        <v>29</v>
      </c>
      <c r="F783" s="1" t="s">
        <v>45</v>
      </c>
      <c r="G783" s="1" t="s">
        <v>46</v>
      </c>
      <c r="H783" s="1" t="n">
        <v>15</v>
      </c>
      <c r="I783" s="1" t="n">
        <v>1617.6</v>
      </c>
      <c r="J783" s="1" t="n">
        <v>300</v>
      </c>
    </row>
    <row r="784" customFormat="false" ht="15" hidden="false" customHeight="true" outlineLevel="0" collapsed="false">
      <c r="A784" s="1" t="s">
        <v>256</v>
      </c>
      <c r="B784" s="1" t="s">
        <v>61</v>
      </c>
      <c r="C784" s="1" t="s">
        <v>242</v>
      </c>
      <c r="D784" s="1" t="n">
        <v>7</v>
      </c>
      <c r="E784" s="1" t="n">
        <v>29</v>
      </c>
      <c r="F784" s="1" t="s">
        <v>47</v>
      </c>
      <c r="G784" s="1" t="s">
        <v>48</v>
      </c>
      <c r="H784" s="1" t="n">
        <v>28</v>
      </c>
      <c r="I784" s="1" t="n">
        <v>2602.32</v>
      </c>
      <c r="J784" s="1" t="n">
        <v>300</v>
      </c>
    </row>
    <row r="785" customFormat="false" ht="15" hidden="false" customHeight="true" outlineLevel="0" collapsed="false">
      <c r="A785" s="1" t="s">
        <v>256</v>
      </c>
      <c r="B785" s="1" t="s">
        <v>61</v>
      </c>
      <c r="C785" s="1" t="s">
        <v>242</v>
      </c>
      <c r="D785" s="1" t="n">
        <v>7</v>
      </c>
      <c r="E785" s="1" t="n">
        <v>29</v>
      </c>
      <c r="F785" s="1" t="s">
        <v>49</v>
      </c>
      <c r="G785" s="1" t="s">
        <v>49</v>
      </c>
      <c r="H785" s="1" t="n">
        <v>29</v>
      </c>
      <c r="I785" s="1" t="n">
        <v>2620.15</v>
      </c>
      <c r="J785" s="1" t="n">
        <v>300</v>
      </c>
    </row>
    <row r="786" customFormat="false" ht="15" hidden="false" customHeight="true" outlineLevel="0" collapsed="false">
      <c r="A786" s="1" t="s">
        <v>257</v>
      </c>
      <c r="B786" s="1" t="s">
        <v>41</v>
      </c>
      <c r="C786" s="1" t="s">
        <v>242</v>
      </c>
      <c r="D786" s="1" t="n">
        <v>7</v>
      </c>
      <c r="E786" s="1" t="n">
        <v>29</v>
      </c>
      <c r="F786" s="1" t="s">
        <v>43</v>
      </c>
      <c r="G786" s="1" t="s">
        <v>44</v>
      </c>
      <c r="H786" s="1" t="n">
        <v>78</v>
      </c>
      <c r="I786" s="1" t="n">
        <v>8775.78</v>
      </c>
      <c r="J786" s="1" t="n">
        <v>300</v>
      </c>
    </row>
    <row r="787" customFormat="false" ht="15" hidden="false" customHeight="true" outlineLevel="0" collapsed="false">
      <c r="A787" s="1" t="s">
        <v>257</v>
      </c>
      <c r="B787" s="1" t="s">
        <v>41</v>
      </c>
      <c r="C787" s="1" t="s">
        <v>242</v>
      </c>
      <c r="D787" s="1" t="n">
        <v>7</v>
      </c>
      <c r="E787" s="1" t="n">
        <v>29</v>
      </c>
      <c r="F787" s="1" t="s">
        <v>45</v>
      </c>
      <c r="G787" s="1" t="s">
        <v>46</v>
      </c>
      <c r="H787" s="1" t="n">
        <v>20</v>
      </c>
      <c r="I787" s="1" t="n">
        <v>1894</v>
      </c>
      <c r="J787" s="1" t="n">
        <v>300</v>
      </c>
    </row>
    <row r="788" customFormat="false" ht="15" hidden="false" customHeight="true" outlineLevel="0" collapsed="false">
      <c r="A788" s="1" t="s">
        <v>257</v>
      </c>
      <c r="B788" s="1" t="s">
        <v>41</v>
      </c>
      <c r="C788" s="1" t="s">
        <v>242</v>
      </c>
      <c r="D788" s="1" t="n">
        <v>7</v>
      </c>
      <c r="E788" s="1" t="n">
        <v>29</v>
      </c>
      <c r="F788" s="1" t="s">
        <v>47</v>
      </c>
      <c r="G788" s="1" t="s">
        <v>48</v>
      </c>
      <c r="H788" s="1" t="n">
        <v>27</v>
      </c>
      <c r="I788" s="1" t="n">
        <v>2344.68</v>
      </c>
      <c r="J788" s="1" t="n">
        <v>300</v>
      </c>
    </row>
    <row r="789" customFormat="false" ht="15" hidden="false" customHeight="true" outlineLevel="0" collapsed="false">
      <c r="A789" s="1" t="s">
        <v>257</v>
      </c>
      <c r="B789" s="1" t="s">
        <v>41</v>
      </c>
      <c r="C789" s="1" t="s">
        <v>242</v>
      </c>
      <c r="D789" s="1" t="n">
        <v>7</v>
      </c>
      <c r="E789" s="1" t="n">
        <v>29</v>
      </c>
      <c r="F789" s="1" t="s">
        <v>49</v>
      </c>
      <c r="G789" s="1" t="s">
        <v>49</v>
      </c>
      <c r="H789" s="1" t="n">
        <v>30</v>
      </c>
      <c r="I789" s="1" t="n">
        <v>2623.5</v>
      </c>
      <c r="J789" s="1" t="n">
        <v>300</v>
      </c>
    </row>
    <row r="790" customFormat="false" ht="15" hidden="false" customHeight="true" outlineLevel="0" collapsed="false">
      <c r="A790" s="1" t="s">
        <v>258</v>
      </c>
      <c r="B790" s="1" t="s">
        <v>51</v>
      </c>
      <c r="C790" s="1" t="s">
        <v>242</v>
      </c>
      <c r="D790" s="1" t="n">
        <v>7</v>
      </c>
      <c r="E790" s="1" t="n">
        <v>29</v>
      </c>
      <c r="F790" s="1" t="s">
        <v>43</v>
      </c>
      <c r="G790" s="1" t="s">
        <v>44</v>
      </c>
      <c r="H790" s="1" t="n">
        <v>77</v>
      </c>
      <c r="I790" s="1" t="n">
        <v>9572.64</v>
      </c>
      <c r="J790" s="1" t="n">
        <v>300</v>
      </c>
    </row>
    <row r="791" customFormat="false" ht="15" hidden="false" customHeight="true" outlineLevel="0" collapsed="false">
      <c r="A791" s="1" t="s">
        <v>258</v>
      </c>
      <c r="B791" s="1" t="s">
        <v>51</v>
      </c>
      <c r="C791" s="1" t="s">
        <v>242</v>
      </c>
      <c r="D791" s="1" t="n">
        <v>7</v>
      </c>
      <c r="E791" s="1" t="n">
        <v>29</v>
      </c>
      <c r="F791" s="1" t="s">
        <v>45</v>
      </c>
      <c r="G791" s="1" t="s">
        <v>46</v>
      </c>
      <c r="H791" s="1" t="n">
        <v>18</v>
      </c>
      <c r="I791" s="1" t="n">
        <v>1753.74</v>
      </c>
      <c r="J791" s="1" t="n">
        <v>300</v>
      </c>
    </row>
    <row r="792" customFormat="false" ht="15" hidden="false" customHeight="true" outlineLevel="0" collapsed="false">
      <c r="A792" s="1" t="s">
        <v>258</v>
      </c>
      <c r="B792" s="1" t="s">
        <v>51</v>
      </c>
      <c r="C792" s="1" t="s">
        <v>242</v>
      </c>
      <c r="D792" s="1" t="n">
        <v>7</v>
      </c>
      <c r="E792" s="1" t="n">
        <v>29</v>
      </c>
      <c r="F792" s="1" t="s">
        <v>47</v>
      </c>
      <c r="G792" s="1" t="s">
        <v>48</v>
      </c>
      <c r="H792" s="1" t="n">
        <v>27</v>
      </c>
      <c r="I792" s="1" t="n">
        <v>2728.35</v>
      </c>
      <c r="J792" s="1" t="n">
        <v>300</v>
      </c>
    </row>
    <row r="793" customFormat="false" ht="15" hidden="false" customHeight="true" outlineLevel="0" collapsed="false">
      <c r="A793" s="1" t="s">
        <v>258</v>
      </c>
      <c r="B793" s="1" t="s">
        <v>51</v>
      </c>
      <c r="C793" s="1" t="s">
        <v>242</v>
      </c>
      <c r="D793" s="1" t="n">
        <v>7</v>
      </c>
      <c r="E793" s="1" t="n">
        <v>29</v>
      </c>
      <c r="F793" s="1" t="s">
        <v>49</v>
      </c>
      <c r="G793" s="1" t="s">
        <v>49</v>
      </c>
      <c r="H793" s="1" t="n">
        <v>26</v>
      </c>
      <c r="I793" s="1" t="n">
        <v>2287.22</v>
      </c>
      <c r="J793" s="1" t="n">
        <v>300</v>
      </c>
    </row>
    <row r="794" customFormat="false" ht="15" hidden="false" customHeight="true" outlineLevel="0" collapsed="false">
      <c r="A794" s="1" t="s">
        <v>259</v>
      </c>
      <c r="B794" s="1" t="s">
        <v>53</v>
      </c>
      <c r="C794" s="1" t="s">
        <v>242</v>
      </c>
      <c r="D794" s="1" t="n">
        <v>7</v>
      </c>
      <c r="E794" s="1" t="n">
        <v>29</v>
      </c>
      <c r="F794" s="1" t="s">
        <v>43</v>
      </c>
      <c r="G794" s="1" t="s">
        <v>44</v>
      </c>
      <c r="H794" s="1" t="n">
        <v>94</v>
      </c>
      <c r="I794" s="1" t="n">
        <v>11376.82</v>
      </c>
      <c r="J794" s="1" t="n">
        <v>300</v>
      </c>
    </row>
    <row r="795" customFormat="false" ht="15" hidden="false" customHeight="true" outlineLevel="0" collapsed="false">
      <c r="A795" s="1" t="s">
        <v>259</v>
      </c>
      <c r="B795" s="1" t="s">
        <v>53</v>
      </c>
      <c r="C795" s="1" t="s">
        <v>242</v>
      </c>
      <c r="D795" s="1" t="n">
        <v>7</v>
      </c>
      <c r="E795" s="1" t="n">
        <v>29</v>
      </c>
      <c r="F795" s="1" t="s">
        <v>45</v>
      </c>
      <c r="G795" s="1" t="s">
        <v>46</v>
      </c>
      <c r="H795" s="1" t="n">
        <v>19</v>
      </c>
      <c r="I795" s="1" t="n">
        <v>1903.04</v>
      </c>
      <c r="J795" s="1" t="n">
        <v>300</v>
      </c>
    </row>
    <row r="796" customFormat="false" ht="15" hidden="false" customHeight="true" outlineLevel="0" collapsed="false">
      <c r="A796" s="1" t="s">
        <v>259</v>
      </c>
      <c r="B796" s="1" t="s">
        <v>53</v>
      </c>
      <c r="C796" s="1" t="s">
        <v>242</v>
      </c>
      <c r="D796" s="1" t="n">
        <v>7</v>
      </c>
      <c r="E796" s="1" t="n">
        <v>29</v>
      </c>
      <c r="F796" s="1" t="s">
        <v>47</v>
      </c>
      <c r="G796" s="1" t="s">
        <v>48</v>
      </c>
      <c r="H796" s="1" t="n">
        <v>25</v>
      </c>
      <c r="I796" s="1" t="n">
        <v>2375.5</v>
      </c>
      <c r="J796" s="1" t="n">
        <v>300</v>
      </c>
    </row>
    <row r="797" customFormat="false" ht="15" hidden="false" customHeight="true" outlineLevel="0" collapsed="false">
      <c r="A797" s="1" t="s">
        <v>259</v>
      </c>
      <c r="B797" s="1" t="s">
        <v>53</v>
      </c>
      <c r="C797" s="1" t="s">
        <v>242</v>
      </c>
      <c r="D797" s="1" t="n">
        <v>7</v>
      </c>
      <c r="E797" s="1" t="n">
        <v>29</v>
      </c>
      <c r="F797" s="1" t="s">
        <v>49</v>
      </c>
      <c r="G797" s="1" t="s">
        <v>49</v>
      </c>
      <c r="H797" s="1" t="n">
        <v>26</v>
      </c>
      <c r="I797" s="1" t="n">
        <v>1879.28</v>
      </c>
      <c r="J797" s="1" t="n">
        <v>300</v>
      </c>
    </row>
    <row r="798" customFormat="false" ht="15" hidden="false" customHeight="true" outlineLevel="0" collapsed="false">
      <c r="A798" s="1" t="s">
        <v>260</v>
      </c>
      <c r="B798" s="1" t="s">
        <v>55</v>
      </c>
      <c r="C798" s="1" t="s">
        <v>242</v>
      </c>
      <c r="D798" s="1" t="n">
        <v>7</v>
      </c>
      <c r="E798" s="1" t="n">
        <v>29</v>
      </c>
      <c r="F798" s="1" t="s">
        <v>43</v>
      </c>
      <c r="G798" s="1" t="s">
        <v>44</v>
      </c>
      <c r="H798" s="1" t="n">
        <v>18</v>
      </c>
      <c r="I798" s="1" t="n">
        <v>2205</v>
      </c>
      <c r="J798" s="1" t="n">
        <v>300</v>
      </c>
    </row>
    <row r="799" customFormat="false" ht="15" hidden="false" customHeight="true" outlineLevel="0" collapsed="false">
      <c r="A799" s="1" t="s">
        <v>260</v>
      </c>
      <c r="B799" s="1" t="s">
        <v>55</v>
      </c>
      <c r="C799" s="1" t="s">
        <v>242</v>
      </c>
      <c r="D799" s="1" t="n">
        <v>7</v>
      </c>
      <c r="E799" s="1" t="n">
        <v>29</v>
      </c>
      <c r="F799" s="1" t="s">
        <v>45</v>
      </c>
      <c r="G799" s="1" t="s">
        <v>46</v>
      </c>
      <c r="H799" s="1" t="n">
        <v>41</v>
      </c>
      <c r="I799" s="1" t="n">
        <v>3944.61</v>
      </c>
      <c r="J799" s="1" t="n">
        <v>300</v>
      </c>
    </row>
    <row r="800" customFormat="false" ht="15" hidden="false" customHeight="true" outlineLevel="0" collapsed="false">
      <c r="A800" s="1" t="s">
        <v>260</v>
      </c>
      <c r="B800" s="1" t="s">
        <v>55</v>
      </c>
      <c r="C800" s="1" t="s">
        <v>242</v>
      </c>
      <c r="D800" s="1" t="n">
        <v>7</v>
      </c>
      <c r="E800" s="1" t="n">
        <v>29</v>
      </c>
      <c r="F800" s="1" t="s">
        <v>47</v>
      </c>
      <c r="G800" s="1" t="s">
        <v>48</v>
      </c>
      <c r="H800" s="1" t="n">
        <v>15</v>
      </c>
      <c r="I800" s="1" t="n">
        <v>1593</v>
      </c>
      <c r="J800" s="1" t="n">
        <v>300</v>
      </c>
    </row>
    <row r="801" customFormat="false" ht="15" hidden="false" customHeight="true" outlineLevel="0" collapsed="false">
      <c r="A801" s="1" t="s">
        <v>260</v>
      </c>
      <c r="B801" s="1" t="s">
        <v>55</v>
      </c>
      <c r="C801" s="1" t="s">
        <v>242</v>
      </c>
      <c r="D801" s="1" t="n">
        <v>7</v>
      </c>
      <c r="E801" s="1" t="n">
        <v>29</v>
      </c>
      <c r="F801" s="1" t="s">
        <v>49</v>
      </c>
      <c r="G801" s="1" t="s">
        <v>49</v>
      </c>
      <c r="H801" s="1" t="n">
        <v>36</v>
      </c>
      <c r="I801" s="1" t="n">
        <v>3017.16</v>
      </c>
      <c r="J801" s="1" t="n">
        <v>300</v>
      </c>
    </row>
    <row r="802" customFormat="false" ht="15" hidden="false" customHeight="true" outlineLevel="0" collapsed="false">
      <c r="A802" s="1" t="s">
        <v>261</v>
      </c>
      <c r="B802" s="1" t="s">
        <v>57</v>
      </c>
      <c r="C802" s="1" t="s">
        <v>242</v>
      </c>
      <c r="D802" s="1" t="n">
        <v>7</v>
      </c>
      <c r="E802" s="1" t="n">
        <v>29</v>
      </c>
      <c r="F802" s="1" t="s">
        <v>43</v>
      </c>
      <c r="G802" s="1" t="s">
        <v>44</v>
      </c>
      <c r="H802" s="1" t="n">
        <v>17</v>
      </c>
      <c r="I802" s="1" t="n">
        <v>2138.26</v>
      </c>
      <c r="J802" s="1" t="n">
        <v>300</v>
      </c>
    </row>
    <row r="803" customFormat="false" ht="15" hidden="false" customHeight="true" outlineLevel="0" collapsed="false">
      <c r="A803" s="1" t="s">
        <v>261</v>
      </c>
      <c r="B803" s="1" t="s">
        <v>57</v>
      </c>
      <c r="C803" s="1" t="s">
        <v>242</v>
      </c>
      <c r="D803" s="1" t="n">
        <v>7</v>
      </c>
      <c r="E803" s="1" t="n">
        <v>29</v>
      </c>
      <c r="F803" s="1" t="s">
        <v>45</v>
      </c>
      <c r="G803" s="1" t="s">
        <v>46</v>
      </c>
      <c r="H803" s="1" t="n">
        <v>49</v>
      </c>
      <c r="I803" s="1" t="n">
        <v>4777.5</v>
      </c>
      <c r="J803" s="1" t="n">
        <v>300</v>
      </c>
    </row>
    <row r="804" customFormat="false" ht="15" hidden="false" customHeight="true" outlineLevel="0" collapsed="false">
      <c r="A804" s="1" t="s">
        <v>261</v>
      </c>
      <c r="B804" s="1" t="s">
        <v>57</v>
      </c>
      <c r="C804" s="1" t="s">
        <v>242</v>
      </c>
      <c r="D804" s="1" t="n">
        <v>7</v>
      </c>
      <c r="E804" s="1" t="n">
        <v>29</v>
      </c>
      <c r="F804" s="1" t="s">
        <v>47</v>
      </c>
      <c r="G804" s="1" t="s">
        <v>48</v>
      </c>
      <c r="H804" s="1" t="n">
        <v>14</v>
      </c>
      <c r="I804" s="1" t="n">
        <v>1247.82</v>
      </c>
      <c r="J804" s="1" t="n">
        <v>300</v>
      </c>
    </row>
    <row r="805" customFormat="false" ht="15" hidden="false" customHeight="true" outlineLevel="0" collapsed="false">
      <c r="A805" s="1" t="s">
        <v>261</v>
      </c>
      <c r="B805" s="1" t="s">
        <v>57</v>
      </c>
      <c r="C805" s="1" t="s">
        <v>242</v>
      </c>
      <c r="D805" s="1" t="n">
        <v>7</v>
      </c>
      <c r="E805" s="1" t="n">
        <v>29</v>
      </c>
      <c r="F805" s="1" t="s">
        <v>49</v>
      </c>
      <c r="G805" s="1" t="s">
        <v>49</v>
      </c>
      <c r="H805" s="1" t="n">
        <v>36</v>
      </c>
      <c r="I805" s="1" t="n">
        <v>3462.48</v>
      </c>
      <c r="J805" s="1" t="n">
        <v>300</v>
      </c>
    </row>
    <row r="806" customFormat="false" ht="15" hidden="false" customHeight="true" outlineLevel="0" collapsed="false">
      <c r="A806" s="1" t="s">
        <v>262</v>
      </c>
      <c r="B806" s="1" t="s">
        <v>59</v>
      </c>
      <c r="C806" s="1" t="s">
        <v>242</v>
      </c>
      <c r="D806" s="1" t="n">
        <v>7</v>
      </c>
      <c r="E806" s="1" t="n">
        <v>30</v>
      </c>
      <c r="F806" s="1" t="s">
        <v>43</v>
      </c>
      <c r="G806" s="1" t="s">
        <v>44</v>
      </c>
      <c r="H806" s="1" t="n">
        <v>93</v>
      </c>
      <c r="I806" s="1" t="n">
        <v>10642.92</v>
      </c>
      <c r="J806" s="1" t="n">
        <v>300</v>
      </c>
    </row>
    <row r="807" customFormat="false" ht="15" hidden="false" customHeight="true" outlineLevel="0" collapsed="false">
      <c r="A807" s="1" t="s">
        <v>262</v>
      </c>
      <c r="B807" s="1" t="s">
        <v>59</v>
      </c>
      <c r="C807" s="1" t="s">
        <v>242</v>
      </c>
      <c r="D807" s="1" t="n">
        <v>7</v>
      </c>
      <c r="E807" s="1" t="n">
        <v>30</v>
      </c>
      <c r="F807" s="1" t="s">
        <v>45</v>
      </c>
      <c r="G807" s="1" t="s">
        <v>46</v>
      </c>
      <c r="H807" s="1" t="n">
        <v>19</v>
      </c>
      <c r="I807" s="1" t="n">
        <v>1763.39</v>
      </c>
      <c r="J807" s="1" t="n">
        <v>300</v>
      </c>
    </row>
    <row r="808" customFormat="false" ht="15" hidden="false" customHeight="true" outlineLevel="0" collapsed="false">
      <c r="A808" s="1" t="s">
        <v>262</v>
      </c>
      <c r="B808" s="1" t="s">
        <v>59</v>
      </c>
      <c r="C808" s="1" t="s">
        <v>242</v>
      </c>
      <c r="D808" s="1" t="n">
        <v>7</v>
      </c>
      <c r="E808" s="1" t="n">
        <v>30</v>
      </c>
      <c r="F808" s="1" t="s">
        <v>47</v>
      </c>
      <c r="G808" s="1" t="s">
        <v>48</v>
      </c>
      <c r="H808" s="1" t="n">
        <v>29</v>
      </c>
      <c r="I808" s="1" t="n">
        <v>2728.61</v>
      </c>
      <c r="J808" s="1" t="n">
        <v>300</v>
      </c>
    </row>
    <row r="809" customFormat="false" ht="15" hidden="false" customHeight="true" outlineLevel="0" collapsed="false">
      <c r="A809" s="1" t="s">
        <v>262</v>
      </c>
      <c r="B809" s="1" t="s">
        <v>59</v>
      </c>
      <c r="C809" s="1" t="s">
        <v>242</v>
      </c>
      <c r="D809" s="1" t="n">
        <v>7</v>
      </c>
      <c r="E809" s="1" t="n">
        <v>30</v>
      </c>
      <c r="F809" s="1" t="s">
        <v>49</v>
      </c>
      <c r="G809" s="1" t="s">
        <v>49</v>
      </c>
      <c r="H809" s="1" t="n">
        <v>28</v>
      </c>
      <c r="I809" s="1" t="n">
        <v>2924.04</v>
      </c>
      <c r="J809" s="1" t="n">
        <v>300</v>
      </c>
    </row>
    <row r="810" customFormat="false" ht="15" hidden="false" customHeight="true" outlineLevel="0" collapsed="false">
      <c r="A810" s="1" t="s">
        <v>263</v>
      </c>
      <c r="B810" s="1" t="s">
        <v>61</v>
      </c>
      <c r="C810" s="1" t="s">
        <v>242</v>
      </c>
      <c r="D810" s="1" t="n">
        <v>7</v>
      </c>
      <c r="E810" s="1" t="n">
        <v>30</v>
      </c>
      <c r="F810" s="1" t="s">
        <v>43</v>
      </c>
      <c r="G810" s="1" t="s">
        <v>44</v>
      </c>
      <c r="H810" s="1" t="n">
        <v>93</v>
      </c>
      <c r="I810" s="1" t="n">
        <v>10319.28</v>
      </c>
      <c r="J810" s="1" t="n">
        <v>300</v>
      </c>
    </row>
    <row r="811" customFormat="false" ht="15" hidden="false" customHeight="true" outlineLevel="0" collapsed="false">
      <c r="A811" s="1" t="s">
        <v>263</v>
      </c>
      <c r="B811" s="1" t="s">
        <v>61</v>
      </c>
      <c r="C811" s="1" t="s">
        <v>242</v>
      </c>
      <c r="D811" s="1" t="n">
        <v>7</v>
      </c>
      <c r="E811" s="1" t="n">
        <v>30</v>
      </c>
      <c r="F811" s="1" t="s">
        <v>45</v>
      </c>
      <c r="G811" s="1" t="s">
        <v>46</v>
      </c>
      <c r="H811" s="1" t="n">
        <v>18</v>
      </c>
      <c r="I811" s="1" t="n">
        <v>1970.46</v>
      </c>
      <c r="J811" s="1" t="n">
        <v>300</v>
      </c>
    </row>
    <row r="812" customFormat="false" ht="15" hidden="false" customHeight="true" outlineLevel="0" collapsed="false">
      <c r="A812" s="1" t="s">
        <v>263</v>
      </c>
      <c r="B812" s="1" t="s">
        <v>61</v>
      </c>
      <c r="C812" s="1" t="s">
        <v>242</v>
      </c>
      <c r="D812" s="1" t="n">
        <v>7</v>
      </c>
      <c r="E812" s="1" t="n">
        <v>30</v>
      </c>
      <c r="F812" s="1" t="s">
        <v>47</v>
      </c>
      <c r="G812" s="1" t="s">
        <v>48</v>
      </c>
      <c r="H812" s="1" t="n">
        <v>27</v>
      </c>
      <c r="I812" s="1" t="n">
        <v>2332.26</v>
      </c>
      <c r="J812" s="1" t="n">
        <v>300</v>
      </c>
    </row>
    <row r="813" customFormat="false" ht="15" hidden="false" customHeight="true" outlineLevel="0" collapsed="false">
      <c r="A813" s="1" t="s">
        <v>263</v>
      </c>
      <c r="B813" s="1" t="s">
        <v>61</v>
      </c>
      <c r="C813" s="1" t="s">
        <v>242</v>
      </c>
      <c r="D813" s="1" t="n">
        <v>7</v>
      </c>
      <c r="E813" s="1" t="n">
        <v>30</v>
      </c>
      <c r="F813" s="1" t="s">
        <v>49</v>
      </c>
      <c r="G813" s="1" t="s">
        <v>49</v>
      </c>
      <c r="H813" s="1" t="n">
        <v>31</v>
      </c>
      <c r="I813" s="1" t="n">
        <v>2608.03</v>
      </c>
      <c r="J813" s="1" t="n">
        <v>300</v>
      </c>
    </row>
    <row r="814" customFormat="false" ht="15" hidden="false" customHeight="true" outlineLevel="0" collapsed="false">
      <c r="A814" s="1" t="s">
        <v>264</v>
      </c>
      <c r="B814" s="1" t="s">
        <v>41</v>
      </c>
      <c r="C814" s="1" t="s">
        <v>242</v>
      </c>
      <c r="D814" s="1" t="n">
        <v>7</v>
      </c>
      <c r="E814" s="1" t="n">
        <v>30</v>
      </c>
      <c r="F814" s="1" t="s">
        <v>43</v>
      </c>
      <c r="G814" s="1" t="s">
        <v>44</v>
      </c>
      <c r="H814" s="1" t="n">
        <v>105</v>
      </c>
      <c r="I814" s="1" t="n">
        <v>12991.65</v>
      </c>
      <c r="J814" s="1" t="n">
        <v>300</v>
      </c>
    </row>
    <row r="815" customFormat="false" ht="15" hidden="false" customHeight="true" outlineLevel="0" collapsed="false">
      <c r="A815" s="1" t="s">
        <v>264</v>
      </c>
      <c r="B815" s="1" t="s">
        <v>41</v>
      </c>
      <c r="C815" s="1" t="s">
        <v>242</v>
      </c>
      <c r="D815" s="1" t="n">
        <v>7</v>
      </c>
      <c r="E815" s="1" t="n">
        <v>30</v>
      </c>
      <c r="F815" s="1" t="s">
        <v>45</v>
      </c>
      <c r="G815" s="1" t="s">
        <v>46</v>
      </c>
      <c r="H815" s="1" t="n">
        <v>18</v>
      </c>
      <c r="I815" s="1" t="n">
        <v>1985.04</v>
      </c>
      <c r="J815" s="1" t="n">
        <v>300</v>
      </c>
    </row>
    <row r="816" customFormat="false" ht="15" hidden="false" customHeight="true" outlineLevel="0" collapsed="false">
      <c r="A816" s="1" t="s">
        <v>264</v>
      </c>
      <c r="B816" s="1" t="s">
        <v>41</v>
      </c>
      <c r="C816" s="1" t="s">
        <v>242</v>
      </c>
      <c r="D816" s="1" t="n">
        <v>7</v>
      </c>
      <c r="E816" s="1" t="n">
        <v>30</v>
      </c>
      <c r="F816" s="1" t="s">
        <v>47</v>
      </c>
      <c r="G816" s="1" t="s">
        <v>48</v>
      </c>
      <c r="H816" s="1" t="n">
        <v>27</v>
      </c>
      <c r="I816" s="1" t="n">
        <v>2682.99</v>
      </c>
      <c r="J816" s="1" t="n">
        <v>300</v>
      </c>
    </row>
    <row r="817" customFormat="false" ht="15" hidden="false" customHeight="true" outlineLevel="0" collapsed="false">
      <c r="A817" s="1" t="s">
        <v>264</v>
      </c>
      <c r="B817" s="1" t="s">
        <v>41</v>
      </c>
      <c r="C817" s="1" t="s">
        <v>242</v>
      </c>
      <c r="D817" s="1" t="n">
        <v>7</v>
      </c>
      <c r="E817" s="1" t="n">
        <v>30</v>
      </c>
      <c r="F817" s="1" t="s">
        <v>49</v>
      </c>
      <c r="G817" s="1" t="s">
        <v>49</v>
      </c>
      <c r="H817" s="1" t="n">
        <v>30</v>
      </c>
      <c r="I817" s="1" t="n">
        <v>2495.7</v>
      </c>
      <c r="J817" s="1" t="n">
        <v>300</v>
      </c>
    </row>
    <row r="818" customFormat="false" ht="15" hidden="false" customHeight="true" outlineLevel="0" collapsed="false">
      <c r="A818" s="1" t="s">
        <v>265</v>
      </c>
      <c r="B818" s="1" t="s">
        <v>51</v>
      </c>
      <c r="C818" s="1" t="s">
        <v>242</v>
      </c>
      <c r="D818" s="1" t="n">
        <v>7</v>
      </c>
      <c r="E818" s="1" t="n">
        <v>30</v>
      </c>
      <c r="F818" s="1" t="s">
        <v>43</v>
      </c>
      <c r="G818" s="1" t="s">
        <v>44</v>
      </c>
      <c r="H818" s="1" t="n">
        <v>85</v>
      </c>
      <c r="I818" s="1" t="n">
        <v>10487.3</v>
      </c>
      <c r="J818" s="1" t="n">
        <v>300</v>
      </c>
    </row>
    <row r="819" customFormat="false" ht="15" hidden="false" customHeight="true" outlineLevel="0" collapsed="false">
      <c r="A819" s="1" t="s">
        <v>265</v>
      </c>
      <c r="B819" s="1" t="s">
        <v>51</v>
      </c>
      <c r="C819" s="1" t="s">
        <v>242</v>
      </c>
      <c r="D819" s="1" t="n">
        <v>7</v>
      </c>
      <c r="E819" s="1" t="n">
        <v>30</v>
      </c>
      <c r="F819" s="1" t="s">
        <v>45</v>
      </c>
      <c r="G819" s="1" t="s">
        <v>46</v>
      </c>
      <c r="H819" s="1" t="n">
        <v>18</v>
      </c>
      <c r="I819" s="1" t="n">
        <v>1798.74</v>
      </c>
      <c r="J819" s="1" t="n">
        <v>300</v>
      </c>
    </row>
    <row r="820" customFormat="false" ht="15" hidden="false" customHeight="true" outlineLevel="0" collapsed="false">
      <c r="A820" s="1" t="s">
        <v>265</v>
      </c>
      <c r="B820" s="1" t="s">
        <v>51</v>
      </c>
      <c r="C820" s="1" t="s">
        <v>242</v>
      </c>
      <c r="D820" s="1" t="n">
        <v>7</v>
      </c>
      <c r="E820" s="1" t="n">
        <v>30</v>
      </c>
      <c r="F820" s="1" t="s">
        <v>47</v>
      </c>
      <c r="G820" s="1" t="s">
        <v>48</v>
      </c>
      <c r="H820" s="1" t="n">
        <v>24</v>
      </c>
      <c r="I820" s="1" t="n">
        <v>2326.56</v>
      </c>
      <c r="J820" s="1" t="n">
        <v>300</v>
      </c>
    </row>
    <row r="821" customFormat="false" ht="15" hidden="false" customHeight="true" outlineLevel="0" collapsed="false">
      <c r="A821" s="1" t="s">
        <v>265</v>
      </c>
      <c r="B821" s="1" t="s">
        <v>51</v>
      </c>
      <c r="C821" s="1" t="s">
        <v>242</v>
      </c>
      <c r="D821" s="1" t="n">
        <v>7</v>
      </c>
      <c r="E821" s="1" t="n">
        <v>30</v>
      </c>
      <c r="F821" s="1" t="s">
        <v>49</v>
      </c>
      <c r="G821" s="1" t="s">
        <v>49</v>
      </c>
      <c r="H821" s="1" t="n">
        <v>34</v>
      </c>
      <c r="I821" s="1" t="n">
        <v>2789.02</v>
      </c>
      <c r="J821" s="1" t="n">
        <v>300</v>
      </c>
    </row>
    <row r="822" customFormat="false" ht="15" hidden="false" customHeight="true" outlineLevel="0" collapsed="false">
      <c r="A822" s="1" t="s">
        <v>266</v>
      </c>
      <c r="B822" s="1" t="s">
        <v>53</v>
      </c>
      <c r="C822" s="1" t="s">
        <v>242</v>
      </c>
      <c r="D822" s="1" t="n">
        <v>7</v>
      </c>
      <c r="E822" s="1" t="n">
        <v>30</v>
      </c>
      <c r="F822" s="1" t="s">
        <v>43</v>
      </c>
      <c r="G822" s="1" t="s">
        <v>44</v>
      </c>
      <c r="H822" s="1" t="n">
        <v>90</v>
      </c>
      <c r="I822" s="1" t="n">
        <v>11343.6</v>
      </c>
      <c r="J822" s="1" t="n">
        <v>300</v>
      </c>
    </row>
    <row r="823" customFormat="false" ht="15" hidden="false" customHeight="true" outlineLevel="0" collapsed="false">
      <c r="A823" s="1" t="s">
        <v>266</v>
      </c>
      <c r="B823" s="1" t="s">
        <v>53</v>
      </c>
      <c r="C823" s="1" t="s">
        <v>242</v>
      </c>
      <c r="D823" s="1" t="n">
        <v>7</v>
      </c>
      <c r="E823" s="1" t="n">
        <v>30</v>
      </c>
      <c r="F823" s="1" t="s">
        <v>45</v>
      </c>
      <c r="G823" s="1" t="s">
        <v>46</v>
      </c>
      <c r="H823" s="1" t="n">
        <v>19</v>
      </c>
      <c r="I823" s="1" t="n">
        <v>1998.61</v>
      </c>
      <c r="J823" s="1" t="n">
        <v>300</v>
      </c>
    </row>
    <row r="824" customFormat="false" ht="15" hidden="false" customHeight="true" outlineLevel="0" collapsed="false">
      <c r="A824" s="1" t="s">
        <v>266</v>
      </c>
      <c r="B824" s="1" t="s">
        <v>53</v>
      </c>
      <c r="C824" s="1" t="s">
        <v>242</v>
      </c>
      <c r="D824" s="1" t="n">
        <v>7</v>
      </c>
      <c r="E824" s="1" t="n">
        <v>30</v>
      </c>
      <c r="F824" s="1" t="s">
        <v>47</v>
      </c>
      <c r="G824" s="1" t="s">
        <v>48</v>
      </c>
      <c r="H824" s="1" t="n">
        <v>24</v>
      </c>
      <c r="I824" s="1" t="n">
        <v>2327.04</v>
      </c>
      <c r="J824" s="1" t="n">
        <v>300</v>
      </c>
    </row>
    <row r="825" customFormat="false" ht="15" hidden="false" customHeight="true" outlineLevel="0" collapsed="false">
      <c r="A825" s="1" t="s">
        <v>266</v>
      </c>
      <c r="B825" s="1" t="s">
        <v>53</v>
      </c>
      <c r="C825" s="1" t="s">
        <v>242</v>
      </c>
      <c r="D825" s="1" t="n">
        <v>7</v>
      </c>
      <c r="E825" s="1" t="n">
        <v>30</v>
      </c>
      <c r="F825" s="1" t="s">
        <v>49</v>
      </c>
      <c r="G825" s="1" t="s">
        <v>49</v>
      </c>
      <c r="H825" s="1" t="n">
        <v>28</v>
      </c>
      <c r="I825" s="1" t="n">
        <v>2598.96</v>
      </c>
      <c r="J825" s="1" t="n">
        <v>300</v>
      </c>
    </row>
    <row r="826" customFormat="false" ht="15" hidden="false" customHeight="true" outlineLevel="0" collapsed="false">
      <c r="A826" s="1" t="s">
        <v>267</v>
      </c>
      <c r="B826" s="1" t="s">
        <v>55</v>
      </c>
      <c r="C826" s="1" t="s">
        <v>242</v>
      </c>
      <c r="D826" s="1" t="n">
        <v>7</v>
      </c>
      <c r="E826" s="1" t="n">
        <v>30</v>
      </c>
      <c r="F826" s="1" t="s">
        <v>43</v>
      </c>
      <c r="G826" s="1" t="s">
        <v>44</v>
      </c>
      <c r="H826" s="1" t="n">
        <v>19</v>
      </c>
      <c r="I826" s="1" t="n">
        <v>2550.75</v>
      </c>
      <c r="J826" s="1" t="n">
        <v>300</v>
      </c>
    </row>
    <row r="827" customFormat="false" ht="15" hidden="false" customHeight="true" outlineLevel="0" collapsed="false">
      <c r="A827" s="1" t="s">
        <v>267</v>
      </c>
      <c r="B827" s="1" t="s">
        <v>55</v>
      </c>
      <c r="C827" s="1" t="s">
        <v>242</v>
      </c>
      <c r="D827" s="1" t="n">
        <v>7</v>
      </c>
      <c r="E827" s="1" t="n">
        <v>30</v>
      </c>
      <c r="F827" s="1" t="s">
        <v>45</v>
      </c>
      <c r="G827" s="1" t="s">
        <v>46</v>
      </c>
      <c r="H827" s="1" t="n">
        <v>55</v>
      </c>
      <c r="I827" s="1" t="n">
        <v>5742.55</v>
      </c>
      <c r="J827" s="1" t="n">
        <v>300</v>
      </c>
    </row>
    <row r="828" customFormat="false" ht="15" hidden="false" customHeight="true" outlineLevel="0" collapsed="false">
      <c r="A828" s="1" t="s">
        <v>267</v>
      </c>
      <c r="B828" s="1" t="s">
        <v>55</v>
      </c>
      <c r="C828" s="1" t="s">
        <v>242</v>
      </c>
      <c r="D828" s="1" t="n">
        <v>7</v>
      </c>
      <c r="E828" s="1" t="n">
        <v>30</v>
      </c>
      <c r="F828" s="1" t="s">
        <v>47</v>
      </c>
      <c r="G828" s="1" t="s">
        <v>48</v>
      </c>
      <c r="H828" s="1" t="n">
        <v>14</v>
      </c>
      <c r="I828" s="1" t="n">
        <v>1295.42</v>
      </c>
      <c r="J828" s="1" t="n">
        <v>300</v>
      </c>
    </row>
    <row r="829" customFormat="false" ht="15" hidden="false" customHeight="true" outlineLevel="0" collapsed="false">
      <c r="A829" s="1" t="s">
        <v>267</v>
      </c>
      <c r="B829" s="1" t="s">
        <v>55</v>
      </c>
      <c r="C829" s="1" t="s">
        <v>242</v>
      </c>
      <c r="D829" s="1" t="n">
        <v>7</v>
      </c>
      <c r="E829" s="1" t="n">
        <v>30</v>
      </c>
      <c r="F829" s="1" t="s">
        <v>49</v>
      </c>
      <c r="G829" s="1" t="s">
        <v>49</v>
      </c>
      <c r="H829" s="1" t="n">
        <v>37</v>
      </c>
      <c r="I829" s="1" t="n">
        <v>3185.33</v>
      </c>
      <c r="J829" s="1" t="n">
        <v>300</v>
      </c>
    </row>
    <row r="830" customFormat="false" ht="15" hidden="false" customHeight="true" outlineLevel="0" collapsed="false">
      <c r="A830" s="1" t="s">
        <v>268</v>
      </c>
      <c r="B830" s="1" t="s">
        <v>57</v>
      </c>
      <c r="C830" s="1" t="s">
        <v>242</v>
      </c>
      <c r="D830" s="1" t="n">
        <v>7</v>
      </c>
      <c r="E830" s="1" t="n">
        <v>30</v>
      </c>
      <c r="F830" s="1" t="s">
        <v>43</v>
      </c>
      <c r="G830" s="1" t="s">
        <v>44</v>
      </c>
      <c r="H830" s="1" t="n">
        <v>17</v>
      </c>
      <c r="I830" s="1" t="n">
        <v>2131.46</v>
      </c>
      <c r="J830" s="1" t="n">
        <v>300</v>
      </c>
    </row>
    <row r="831" customFormat="false" ht="15" hidden="false" customHeight="true" outlineLevel="0" collapsed="false">
      <c r="A831" s="1" t="s">
        <v>268</v>
      </c>
      <c r="B831" s="1" t="s">
        <v>57</v>
      </c>
      <c r="C831" s="1" t="s">
        <v>242</v>
      </c>
      <c r="D831" s="1" t="n">
        <v>7</v>
      </c>
      <c r="E831" s="1" t="n">
        <v>30</v>
      </c>
      <c r="F831" s="1" t="s">
        <v>45</v>
      </c>
      <c r="G831" s="1" t="s">
        <v>46</v>
      </c>
      <c r="H831" s="1" t="n">
        <v>48</v>
      </c>
      <c r="I831" s="1" t="n">
        <v>5252.16</v>
      </c>
      <c r="J831" s="1" t="n">
        <v>300</v>
      </c>
    </row>
    <row r="832" customFormat="false" ht="15" hidden="false" customHeight="true" outlineLevel="0" collapsed="false">
      <c r="A832" s="1" t="s">
        <v>268</v>
      </c>
      <c r="B832" s="1" t="s">
        <v>57</v>
      </c>
      <c r="C832" s="1" t="s">
        <v>242</v>
      </c>
      <c r="D832" s="1" t="n">
        <v>7</v>
      </c>
      <c r="E832" s="1" t="n">
        <v>30</v>
      </c>
      <c r="F832" s="1" t="s">
        <v>47</v>
      </c>
      <c r="G832" s="1" t="s">
        <v>48</v>
      </c>
      <c r="H832" s="1" t="n">
        <v>16</v>
      </c>
      <c r="I832" s="1" t="n">
        <v>1501.76</v>
      </c>
      <c r="J832" s="1" t="n">
        <v>300</v>
      </c>
    </row>
    <row r="833" customFormat="false" ht="15" hidden="false" customHeight="true" outlineLevel="0" collapsed="false">
      <c r="A833" s="1" t="s">
        <v>268</v>
      </c>
      <c r="B833" s="1" t="s">
        <v>57</v>
      </c>
      <c r="C833" s="1" t="s">
        <v>242</v>
      </c>
      <c r="D833" s="1" t="n">
        <v>7</v>
      </c>
      <c r="E833" s="1" t="n">
        <v>30</v>
      </c>
      <c r="F833" s="1" t="s">
        <v>49</v>
      </c>
      <c r="G833" s="1" t="s">
        <v>49</v>
      </c>
      <c r="H833" s="1" t="n">
        <v>29</v>
      </c>
      <c r="I833" s="1" t="n">
        <v>2448.76</v>
      </c>
      <c r="J833" s="1" t="n">
        <v>300</v>
      </c>
    </row>
    <row r="834" customFormat="false" ht="15" hidden="false" customHeight="true" outlineLevel="0" collapsed="false">
      <c r="A834" s="1" t="s">
        <v>269</v>
      </c>
      <c r="B834" s="1" t="s">
        <v>59</v>
      </c>
      <c r="C834" s="1" t="s">
        <v>242</v>
      </c>
      <c r="D834" s="1" t="n">
        <v>7</v>
      </c>
      <c r="E834" s="1" t="n">
        <v>31</v>
      </c>
      <c r="F834" s="1" t="s">
        <v>43</v>
      </c>
      <c r="G834" s="1" t="s">
        <v>44</v>
      </c>
      <c r="H834" s="1" t="n">
        <v>101</v>
      </c>
      <c r="I834" s="1" t="n">
        <v>11720.04</v>
      </c>
      <c r="J834" s="1" t="n">
        <v>300</v>
      </c>
    </row>
    <row r="835" customFormat="false" ht="15" hidden="false" customHeight="true" outlineLevel="0" collapsed="false">
      <c r="A835" s="1" t="s">
        <v>269</v>
      </c>
      <c r="B835" s="1" t="s">
        <v>59</v>
      </c>
      <c r="C835" s="1" t="s">
        <v>242</v>
      </c>
      <c r="D835" s="1" t="n">
        <v>7</v>
      </c>
      <c r="E835" s="1" t="n">
        <v>31</v>
      </c>
      <c r="F835" s="1" t="s">
        <v>45</v>
      </c>
      <c r="G835" s="1" t="s">
        <v>46</v>
      </c>
      <c r="H835" s="1" t="n">
        <v>17</v>
      </c>
      <c r="I835" s="1" t="n">
        <v>1688.27</v>
      </c>
      <c r="J835" s="1" t="n">
        <v>300</v>
      </c>
    </row>
    <row r="836" customFormat="false" ht="15" hidden="false" customHeight="true" outlineLevel="0" collapsed="false">
      <c r="A836" s="1" t="s">
        <v>269</v>
      </c>
      <c r="B836" s="1" t="s">
        <v>59</v>
      </c>
      <c r="C836" s="1" t="s">
        <v>242</v>
      </c>
      <c r="D836" s="1" t="n">
        <v>7</v>
      </c>
      <c r="E836" s="1" t="n">
        <v>31</v>
      </c>
      <c r="F836" s="1" t="s">
        <v>47</v>
      </c>
      <c r="G836" s="1" t="s">
        <v>48</v>
      </c>
      <c r="H836" s="1" t="n">
        <v>29</v>
      </c>
      <c r="I836" s="1" t="n">
        <v>2831.56</v>
      </c>
      <c r="J836" s="1" t="n">
        <v>300</v>
      </c>
    </row>
    <row r="837" customFormat="false" ht="15" hidden="false" customHeight="true" outlineLevel="0" collapsed="false">
      <c r="A837" s="1" t="s">
        <v>269</v>
      </c>
      <c r="B837" s="1" t="s">
        <v>59</v>
      </c>
      <c r="C837" s="1" t="s">
        <v>242</v>
      </c>
      <c r="D837" s="1" t="n">
        <v>7</v>
      </c>
      <c r="E837" s="1" t="n">
        <v>31</v>
      </c>
      <c r="F837" s="1" t="s">
        <v>49</v>
      </c>
      <c r="G837" s="1" t="s">
        <v>49</v>
      </c>
      <c r="H837" s="1" t="n">
        <v>28</v>
      </c>
      <c r="I837" s="1" t="n">
        <v>2399.88</v>
      </c>
      <c r="J837" s="1" t="n">
        <v>300</v>
      </c>
    </row>
    <row r="838" customFormat="false" ht="15" hidden="false" customHeight="true" outlineLevel="0" collapsed="false">
      <c r="A838" s="1" t="s">
        <v>270</v>
      </c>
      <c r="B838" s="1" t="s">
        <v>61</v>
      </c>
      <c r="C838" s="1" t="s">
        <v>242</v>
      </c>
      <c r="D838" s="1" t="n">
        <v>7</v>
      </c>
      <c r="E838" s="1" t="n">
        <v>31</v>
      </c>
      <c r="F838" s="1" t="s">
        <v>43</v>
      </c>
      <c r="G838" s="1" t="s">
        <v>44</v>
      </c>
      <c r="H838" s="1" t="n">
        <v>87</v>
      </c>
      <c r="I838" s="1" t="n">
        <v>9549.99</v>
      </c>
      <c r="J838" s="1" t="n">
        <v>300</v>
      </c>
    </row>
    <row r="839" customFormat="false" ht="15" hidden="false" customHeight="true" outlineLevel="0" collapsed="false">
      <c r="A839" s="1" t="s">
        <v>270</v>
      </c>
      <c r="B839" s="1" t="s">
        <v>61</v>
      </c>
      <c r="C839" s="1" t="s">
        <v>242</v>
      </c>
      <c r="D839" s="1" t="n">
        <v>7</v>
      </c>
      <c r="E839" s="1" t="n">
        <v>31</v>
      </c>
      <c r="F839" s="1" t="s">
        <v>45</v>
      </c>
      <c r="G839" s="1" t="s">
        <v>46</v>
      </c>
      <c r="H839" s="1" t="n">
        <v>22</v>
      </c>
      <c r="I839" s="1" t="n">
        <v>2209.46</v>
      </c>
      <c r="J839" s="1" t="n">
        <v>300</v>
      </c>
    </row>
    <row r="840" customFormat="false" ht="15" hidden="false" customHeight="true" outlineLevel="0" collapsed="false">
      <c r="A840" s="1" t="s">
        <v>270</v>
      </c>
      <c r="B840" s="1" t="s">
        <v>61</v>
      </c>
      <c r="C840" s="1" t="s">
        <v>242</v>
      </c>
      <c r="D840" s="1" t="n">
        <v>7</v>
      </c>
      <c r="E840" s="1" t="n">
        <v>31</v>
      </c>
      <c r="F840" s="1" t="s">
        <v>47</v>
      </c>
      <c r="G840" s="1" t="s">
        <v>48</v>
      </c>
      <c r="H840" s="1" t="n">
        <v>30</v>
      </c>
      <c r="I840" s="1" t="n">
        <v>3094.8</v>
      </c>
      <c r="J840" s="1" t="n">
        <v>300</v>
      </c>
    </row>
    <row r="841" customFormat="false" ht="15" hidden="false" customHeight="true" outlineLevel="0" collapsed="false">
      <c r="A841" s="1" t="s">
        <v>270</v>
      </c>
      <c r="B841" s="1" t="s">
        <v>61</v>
      </c>
      <c r="C841" s="1" t="s">
        <v>242</v>
      </c>
      <c r="D841" s="1" t="n">
        <v>7</v>
      </c>
      <c r="E841" s="1" t="n">
        <v>31</v>
      </c>
      <c r="F841" s="1" t="s">
        <v>49</v>
      </c>
      <c r="G841" s="1" t="s">
        <v>49</v>
      </c>
      <c r="H841" s="1" t="n">
        <v>31</v>
      </c>
      <c r="I841" s="1" t="n">
        <v>2646.47</v>
      </c>
      <c r="J841" s="1" t="n">
        <v>300</v>
      </c>
    </row>
    <row r="842" customFormat="false" ht="15" hidden="false" customHeight="true" outlineLevel="0" collapsed="false">
      <c r="A842" s="1" t="s">
        <v>271</v>
      </c>
      <c r="B842" s="1" t="s">
        <v>41</v>
      </c>
      <c r="C842" s="1" t="s">
        <v>242</v>
      </c>
      <c r="D842" s="1" t="n">
        <v>7</v>
      </c>
      <c r="E842" s="1" t="n">
        <v>31</v>
      </c>
      <c r="F842" s="1" t="s">
        <v>43</v>
      </c>
      <c r="G842" s="1" t="s">
        <v>44</v>
      </c>
      <c r="H842" s="1" t="n">
        <v>94</v>
      </c>
      <c r="I842" s="1" t="n">
        <v>10906.82</v>
      </c>
      <c r="J842" s="1" t="n">
        <v>300</v>
      </c>
    </row>
    <row r="843" customFormat="false" ht="15" hidden="false" customHeight="true" outlineLevel="0" collapsed="false">
      <c r="A843" s="1" t="s">
        <v>271</v>
      </c>
      <c r="B843" s="1" t="s">
        <v>41</v>
      </c>
      <c r="C843" s="1" t="s">
        <v>242</v>
      </c>
      <c r="D843" s="1" t="n">
        <v>7</v>
      </c>
      <c r="E843" s="1" t="n">
        <v>31</v>
      </c>
      <c r="F843" s="1" t="s">
        <v>45</v>
      </c>
      <c r="G843" s="1" t="s">
        <v>46</v>
      </c>
      <c r="H843" s="1" t="n">
        <v>17</v>
      </c>
      <c r="I843" s="1" t="n">
        <v>1774.8</v>
      </c>
      <c r="J843" s="1" t="n">
        <v>300</v>
      </c>
    </row>
    <row r="844" customFormat="false" ht="15" hidden="false" customHeight="true" outlineLevel="0" collapsed="false">
      <c r="A844" s="1" t="s">
        <v>271</v>
      </c>
      <c r="B844" s="1" t="s">
        <v>41</v>
      </c>
      <c r="C844" s="1" t="s">
        <v>242</v>
      </c>
      <c r="D844" s="1" t="n">
        <v>7</v>
      </c>
      <c r="E844" s="1" t="n">
        <v>31</v>
      </c>
      <c r="F844" s="1" t="s">
        <v>47</v>
      </c>
      <c r="G844" s="1" t="s">
        <v>48</v>
      </c>
      <c r="H844" s="1" t="n">
        <v>24</v>
      </c>
      <c r="I844" s="1" t="n">
        <v>2430.48</v>
      </c>
      <c r="J844" s="1" t="n">
        <v>300</v>
      </c>
    </row>
    <row r="845" customFormat="false" ht="15" hidden="false" customHeight="true" outlineLevel="0" collapsed="false">
      <c r="A845" s="1" t="s">
        <v>271</v>
      </c>
      <c r="B845" s="1" t="s">
        <v>41</v>
      </c>
      <c r="C845" s="1" t="s">
        <v>242</v>
      </c>
      <c r="D845" s="1" t="n">
        <v>7</v>
      </c>
      <c r="E845" s="1" t="n">
        <v>31</v>
      </c>
      <c r="F845" s="1" t="s">
        <v>49</v>
      </c>
      <c r="G845" s="1" t="s">
        <v>49</v>
      </c>
      <c r="H845" s="1" t="n">
        <v>27</v>
      </c>
      <c r="I845" s="1" t="n">
        <v>2394.9</v>
      </c>
      <c r="J845" s="1" t="n">
        <v>300</v>
      </c>
    </row>
    <row r="846" customFormat="false" ht="15" hidden="false" customHeight="true" outlineLevel="0" collapsed="false">
      <c r="A846" s="1" t="s">
        <v>272</v>
      </c>
      <c r="B846" s="1" t="s">
        <v>51</v>
      </c>
      <c r="C846" s="1" t="s">
        <v>242</v>
      </c>
      <c r="D846" s="1" t="n">
        <v>7</v>
      </c>
      <c r="E846" s="1" t="n">
        <v>31</v>
      </c>
      <c r="F846" s="1" t="s">
        <v>43</v>
      </c>
      <c r="G846" s="1" t="s">
        <v>44</v>
      </c>
      <c r="H846" s="1" t="n">
        <v>93</v>
      </c>
      <c r="I846" s="1" t="n">
        <v>10638.27</v>
      </c>
      <c r="J846" s="1" t="n">
        <v>300</v>
      </c>
    </row>
    <row r="847" customFormat="false" ht="15" hidden="false" customHeight="true" outlineLevel="0" collapsed="false">
      <c r="A847" s="1" t="s">
        <v>272</v>
      </c>
      <c r="B847" s="1" t="s">
        <v>51</v>
      </c>
      <c r="C847" s="1" t="s">
        <v>242</v>
      </c>
      <c r="D847" s="1" t="n">
        <v>7</v>
      </c>
      <c r="E847" s="1" t="n">
        <v>31</v>
      </c>
      <c r="F847" s="1" t="s">
        <v>45</v>
      </c>
      <c r="G847" s="1" t="s">
        <v>46</v>
      </c>
      <c r="H847" s="1" t="n">
        <v>20</v>
      </c>
      <c r="I847" s="1" t="n">
        <v>1989.8</v>
      </c>
      <c r="J847" s="1" t="n">
        <v>300</v>
      </c>
    </row>
    <row r="848" customFormat="false" ht="15" hidden="false" customHeight="true" outlineLevel="0" collapsed="false">
      <c r="A848" s="1" t="s">
        <v>272</v>
      </c>
      <c r="B848" s="1" t="s">
        <v>51</v>
      </c>
      <c r="C848" s="1" t="s">
        <v>242</v>
      </c>
      <c r="D848" s="1" t="n">
        <v>7</v>
      </c>
      <c r="E848" s="1" t="n">
        <v>31</v>
      </c>
      <c r="F848" s="1" t="s">
        <v>47</v>
      </c>
      <c r="G848" s="1" t="s">
        <v>48</v>
      </c>
      <c r="H848" s="1" t="n">
        <v>29</v>
      </c>
      <c r="I848" s="1" t="n">
        <v>2520.1</v>
      </c>
      <c r="J848" s="1" t="n">
        <v>300</v>
      </c>
    </row>
    <row r="849" customFormat="false" ht="15" hidden="false" customHeight="true" outlineLevel="0" collapsed="false">
      <c r="A849" s="1" t="s">
        <v>272</v>
      </c>
      <c r="B849" s="1" t="s">
        <v>51</v>
      </c>
      <c r="C849" s="1" t="s">
        <v>242</v>
      </c>
      <c r="D849" s="1" t="n">
        <v>7</v>
      </c>
      <c r="E849" s="1" t="n">
        <v>31</v>
      </c>
      <c r="F849" s="1" t="s">
        <v>49</v>
      </c>
      <c r="G849" s="1" t="s">
        <v>49</v>
      </c>
      <c r="H849" s="1" t="n">
        <v>29</v>
      </c>
      <c r="I849" s="1" t="n">
        <v>2837.36</v>
      </c>
      <c r="J849" s="1" t="n">
        <v>300</v>
      </c>
    </row>
    <row r="850" customFormat="false" ht="15" hidden="false" customHeight="true" outlineLevel="0" collapsed="false">
      <c r="A850" s="1" t="s">
        <v>273</v>
      </c>
      <c r="B850" s="1" t="s">
        <v>53</v>
      </c>
      <c r="C850" s="1" t="s">
        <v>274</v>
      </c>
      <c r="D850" s="1" t="n">
        <v>8</v>
      </c>
      <c r="E850" s="1" t="n">
        <v>31</v>
      </c>
      <c r="F850" s="1" t="s">
        <v>43</v>
      </c>
      <c r="G850" s="1" t="s">
        <v>44</v>
      </c>
      <c r="H850" s="1" t="n">
        <v>59</v>
      </c>
      <c r="I850" s="1" t="n">
        <v>5948.97</v>
      </c>
      <c r="J850" s="1" t="n">
        <v>300</v>
      </c>
    </row>
    <row r="851" customFormat="false" ht="15" hidden="false" customHeight="true" outlineLevel="0" collapsed="false">
      <c r="A851" s="1" t="s">
        <v>273</v>
      </c>
      <c r="B851" s="1" t="s">
        <v>53</v>
      </c>
      <c r="C851" s="1" t="s">
        <v>274</v>
      </c>
      <c r="D851" s="1" t="n">
        <v>8</v>
      </c>
      <c r="E851" s="1" t="n">
        <v>31</v>
      </c>
      <c r="F851" s="1" t="s">
        <v>45</v>
      </c>
      <c r="G851" s="1" t="s">
        <v>46</v>
      </c>
      <c r="H851" s="1" t="n">
        <v>14</v>
      </c>
      <c r="I851" s="1" t="n">
        <v>1310.96</v>
      </c>
      <c r="J851" s="1" t="n">
        <v>300</v>
      </c>
    </row>
    <row r="852" customFormat="false" ht="15" hidden="false" customHeight="true" outlineLevel="0" collapsed="false">
      <c r="A852" s="1" t="s">
        <v>273</v>
      </c>
      <c r="B852" s="1" t="s">
        <v>53</v>
      </c>
      <c r="C852" s="1" t="s">
        <v>274</v>
      </c>
      <c r="D852" s="1" t="n">
        <v>8</v>
      </c>
      <c r="E852" s="1" t="n">
        <v>31</v>
      </c>
      <c r="F852" s="1" t="s">
        <v>47</v>
      </c>
      <c r="G852" s="1" t="s">
        <v>48</v>
      </c>
      <c r="H852" s="1" t="n">
        <v>20</v>
      </c>
      <c r="I852" s="1" t="n">
        <v>1760.4</v>
      </c>
      <c r="J852" s="1" t="n">
        <v>300</v>
      </c>
    </row>
    <row r="853" customFormat="false" ht="15" hidden="false" customHeight="true" outlineLevel="0" collapsed="false">
      <c r="A853" s="1" t="s">
        <v>273</v>
      </c>
      <c r="B853" s="1" t="s">
        <v>53</v>
      </c>
      <c r="C853" s="1" t="s">
        <v>274</v>
      </c>
      <c r="D853" s="1" t="n">
        <v>8</v>
      </c>
      <c r="E853" s="1" t="n">
        <v>31</v>
      </c>
      <c r="F853" s="1" t="s">
        <v>49</v>
      </c>
      <c r="G853" s="1" t="s">
        <v>49</v>
      </c>
      <c r="H853" s="1" t="n">
        <v>22</v>
      </c>
      <c r="I853" s="1" t="n">
        <v>1860.1</v>
      </c>
      <c r="J853" s="1" t="n">
        <v>300</v>
      </c>
    </row>
    <row r="854" customFormat="false" ht="15" hidden="false" customHeight="true" outlineLevel="0" collapsed="false">
      <c r="A854" s="1" t="s">
        <v>275</v>
      </c>
      <c r="B854" s="1" t="s">
        <v>55</v>
      </c>
      <c r="C854" s="1" t="s">
        <v>274</v>
      </c>
      <c r="D854" s="1" t="n">
        <v>8</v>
      </c>
      <c r="E854" s="1" t="n">
        <v>31</v>
      </c>
      <c r="F854" s="1" t="s">
        <v>43</v>
      </c>
      <c r="G854" s="1" t="s">
        <v>44</v>
      </c>
      <c r="H854" s="1" t="n">
        <v>13</v>
      </c>
      <c r="I854" s="1" t="n">
        <v>1346.67</v>
      </c>
      <c r="J854" s="1" t="n">
        <v>300</v>
      </c>
    </row>
    <row r="855" customFormat="false" ht="15" hidden="false" customHeight="true" outlineLevel="0" collapsed="false">
      <c r="A855" s="1" t="s">
        <v>275</v>
      </c>
      <c r="B855" s="1" t="s">
        <v>55</v>
      </c>
      <c r="C855" s="1" t="s">
        <v>274</v>
      </c>
      <c r="D855" s="1" t="n">
        <v>8</v>
      </c>
      <c r="E855" s="1" t="n">
        <v>31</v>
      </c>
      <c r="F855" s="1" t="s">
        <v>45</v>
      </c>
      <c r="G855" s="1" t="s">
        <v>46</v>
      </c>
      <c r="H855" s="1" t="n">
        <v>40</v>
      </c>
      <c r="I855" s="1" t="n">
        <v>4128</v>
      </c>
      <c r="J855" s="1" t="n">
        <v>300</v>
      </c>
    </row>
    <row r="856" customFormat="false" ht="15" hidden="false" customHeight="true" outlineLevel="0" collapsed="false">
      <c r="A856" s="1" t="s">
        <v>275</v>
      </c>
      <c r="B856" s="1" t="s">
        <v>55</v>
      </c>
      <c r="C856" s="1" t="s">
        <v>274</v>
      </c>
      <c r="D856" s="1" t="n">
        <v>8</v>
      </c>
      <c r="E856" s="1" t="n">
        <v>31</v>
      </c>
      <c r="F856" s="1" t="s">
        <v>47</v>
      </c>
      <c r="G856" s="1" t="s">
        <v>48</v>
      </c>
      <c r="H856" s="1" t="n">
        <v>10</v>
      </c>
      <c r="I856" s="1" t="n">
        <v>805.1</v>
      </c>
      <c r="J856" s="1" t="n">
        <v>300</v>
      </c>
    </row>
    <row r="857" customFormat="false" ht="15" hidden="false" customHeight="true" outlineLevel="0" collapsed="false">
      <c r="A857" s="1" t="s">
        <v>275</v>
      </c>
      <c r="B857" s="1" t="s">
        <v>55</v>
      </c>
      <c r="C857" s="1" t="s">
        <v>274</v>
      </c>
      <c r="D857" s="1" t="n">
        <v>8</v>
      </c>
      <c r="E857" s="1" t="n">
        <v>31</v>
      </c>
      <c r="F857" s="1" t="s">
        <v>49</v>
      </c>
      <c r="G857" s="1" t="s">
        <v>49</v>
      </c>
      <c r="H857" s="1" t="n">
        <v>28</v>
      </c>
      <c r="I857" s="1" t="n">
        <v>2203.6</v>
      </c>
      <c r="J857" s="1" t="n">
        <v>300</v>
      </c>
    </row>
    <row r="858" customFormat="false" ht="15" hidden="false" customHeight="true" outlineLevel="0" collapsed="false">
      <c r="A858" s="1" t="s">
        <v>276</v>
      </c>
      <c r="B858" s="1" t="s">
        <v>57</v>
      </c>
      <c r="C858" s="1" t="s">
        <v>274</v>
      </c>
      <c r="D858" s="1" t="n">
        <v>8</v>
      </c>
      <c r="E858" s="1" t="n">
        <v>31</v>
      </c>
      <c r="F858" s="1" t="s">
        <v>43</v>
      </c>
      <c r="G858" s="1" t="s">
        <v>44</v>
      </c>
      <c r="H858" s="1" t="n">
        <v>10</v>
      </c>
      <c r="I858" s="1" t="n">
        <v>1104.5</v>
      </c>
      <c r="J858" s="1" t="n">
        <v>300</v>
      </c>
    </row>
    <row r="859" customFormat="false" ht="15" hidden="false" customHeight="true" outlineLevel="0" collapsed="false">
      <c r="A859" s="1" t="s">
        <v>276</v>
      </c>
      <c r="B859" s="1" t="s">
        <v>57</v>
      </c>
      <c r="C859" s="1" t="s">
        <v>274</v>
      </c>
      <c r="D859" s="1" t="n">
        <v>8</v>
      </c>
      <c r="E859" s="1" t="n">
        <v>31</v>
      </c>
      <c r="F859" s="1" t="s">
        <v>45</v>
      </c>
      <c r="G859" s="1" t="s">
        <v>46</v>
      </c>
      <c r="H859" s="1" t="n">
        <v>36</v>
      </c>
      <c r="I859" s="1" t="n">
        <v>3316.68</v>
      </c>
      <c r="J859" s="1" t="n">
        <v>300</v>
      </c>
    </row>
    <row r="860" customFormat="false" ht="15" hidden="false" customHeight="true" outlineLevel="0" collapsed="false">
      <c r="A860" s="1" t="s">
        <v>276</v>
      </c>
      <c r="B860" s="1" t="s">
        <v>57</v>
      </c>
      <c r="C860" s="1" t="s">
        <v>274</v>
      </c>
      <c r="D860" s="1" t="n">
        <v>8</v>
      </c>
      <c r="E860" s="1" t="n">
        <v>31</v>
      </c>
      <c r="F860" s="1" t="s">
        <v>47</v>
      </c>
      <c r="G860" s="1" t="s">
        <v>48</v>
      </c>
      <c r="H860" s="1" t="n">
        <v>11</v>
      </c>
      <c r="I860" s="1" t="n">
        <v>951.39</v>
      </c>
      <c r="J860" s="1" t="n">
        <v>300</v>
      </c>
    </row>
    <row r="861" customFormat="false" ht="15" hidden="false" customHeight="true" outlineLevel="0" collapsed="false">
      <c r="A861" s="1" t="s">
        <v>276</v>
      </c>
      <c r="B861" s="1" t="s">
        <v>57</v>
      </c>
      <c r="C861" s="1" t="s">
        <v>274</v>
      </c>
      <c r="D861" s="1" t="n">
        <v>8</v>
      </c>
      <c r="E861" s="1" t="n">
        <v>31</v>
      </c>
      <c r="F861" s="1" t="s">
        <v>49</v>
      </c>
      <c r="G861" s="1" t="s">
        <v>49</v>
      </c>
      <c r="H861" s="1" t="n">
        <v>27</v>
      </c>
      <c r="I861" s="1" t="n">
        <v>2084.4</v>
      </c>
      <c r="J861" s="1" t="n">
        <v>300</v>
      </c>
    </row>
    <row r="862" customFormat="false" ht="15" hidden="false" customHeight="true" outlineLevel="0" collapsed="false">
      <c r="A862" s="1" t="s">
        <v>277</v>
      </c>
      <c r="B862" s="1" t="s">
        <v>59</v>
      </c>
      <c r="C862" s="1" t="s">
        <v>274</v>
      </c>
      <c r="D862" s="1" t="n">
        <v>8</v>
      </c>
      <c r="E862" s="1" t="n">
        <v>32</v>
      </c>
      <c r="F862" s="1" t="s">
        <v>43</v>
      </c>
      <c r="G862" s="1" t="s">
        <v>44</v>
      </c>
      <c r="H862" s="1" t="n">
        <v>68</v>
      </c>
      <c r="I862" s="1" t="n">
        <v>7035.96</v>
      </c>
      <c r="J862" s="1" t="n">
        <v>300</v>
      </c>
    </row>
    <row r="863" customFormat="false" ht="15" hidden="false" customHeight="true" outlineLevel="0" collapsed="false">
      <c r="A863" s="1" t="s">
        <v>277</v>
      </c>
      <c r="B863" s="1" t="s">
        <v>59</v>
      </c>
      <c r="C863" s="1" t="s">
        <v>274</v>
      </c>
      <c r="D863" s="1" t="n">
        <v>8</v>
      </c>
      <c r="E863" s="1" t="n">
        <v>32</v>
      </c>
      <c r="F863" s="1" t="s">
        <v>45</v>
      </c>
      <c r="G863" s="1" t="s">
        <v>46</v>
      </c>
      <c r="H863" s="1" t="n">
        <v>15</v>
      </c>
      <c r="I863" s="1" t="n">
        <v>1440.9</v>
      </c>
      <c r="J863" s="1" t="n">
        <v>300</v>
      </c>
    </row>
    <row r="864" customFormat="false" ht="15" hidden="false" customHeight="true" outlineLevel="0" collapsed="false">
      <c r="A864" s="1" t="s">
        <v>277</v>
      </c>
      <c r="B864" s="1" t="s">
        <v>59</v>
      </c>
      <c r="C864" s="1" t="s">
        <v>274</v>
      </c>
      <c r="D864" s="1" t="n">
        <v>8</v>
      </c>
      <c r="E864" s="1" t="n">
        <v>32</v>
      </c>
      <c r="F864" s="1" t="s">
        <v>47</v>
      </c>
      <c r="G864" s="1" t="s">
        <v>48</v>
      </c>
      <c r="H864" s="1" t="n">
        <v>17</v>
      </c>
      <c r="I864" s="1" t="n">
        <v>1548.36</v>
      </c>
      <c r="J864" s="1" t="n">
        <v>300</v>
      </c>
    </row>
    <row r="865" customFormat="false" ht="15" hidden="false" customHeight="true" outlineLevel="0" collapsed="false">
      <c r="A865" s="1" t="s">
        <v>277</v>
      </c>
      <c r="B865" s="1" t="s">
        <v>59</v>
      </c>
      <c r="C865" s="1" t="s">
        <v>274</v>
      </c>
      <c r="D865" s="1" t="n">
        <v>8</v>
      </c>
      <c r="E865" s="1" t="n">
        <v>32</v>
      </c>
      <c r="F865" s="1" t="s">
        <v>49</v>
      </c>
      <c r="G865" s="1" t="s">
        <v>49</v>
      </c>
      <c r="H865" s="1" t="n">
        <v>19</v>
      </c>
      <c r="I865" s="1" t="n">
        <v>1579.28</v>
      </c>
      <c r="J865" s="1" t="n">
        <v>300</v>
      </c>
    </row>
    <row r="866" customFormat="false" ht="15" hidden="false" customHeight="true" outlineLevel="0" collapsed="false">
      <c r="A866" s="1" t="s">
        <v>278</v>
      </c>
      <c r="B866" s="1" t="s">
        <v>61</v>
      </c>
      <c r="C866" s="1" t="s">
        <v>274</v>
      </c>
      <c r="D866" s="1" t="n">
        <v>8</v>
      </c>
      <c r="E866" s="1" t="n">
        <v>32</v>
      </c>
      <c r="F866" s="1" t="s">
        <v>43</v>
      </c>
      <c r="G866" s="1" t="s">
        <v>44</v>
      </c>
      <c r="H866" s="1" t="n">
        <v>67</v>
      </c>
      <c r="I866" s="1" t="n">
        <v>7818.9</v>
      </c>
      <c r="J866" s="1" t="n">
        <v>300</v>
      </c>
    </row>
    <row r="867" customFormat="false" ht="15" hidden="false" customHeight="true" outlineLevel="0" collapsed="false">
      <c r="A867" s="1" t="s">
        <v>278</v>
      </c>
      <c r="B867" s="1" t="s">
        <v>61</v>
      </c>
      <c r="C867" s="1" t="s">
        <v>274</v>
      </c>
      <c r="D867" s="1" t="n">
        <v>8</v>
      </c>
      <c r="E867" s="1" t="n">
        <v>32</v>
      </c>
      <c r="F867" s="1" t="s">
        <v>45</v>
      </c>
      <c r="G867" s="1" t="s">
        <v>46</v>
      </c>
      <c r="H867" s="1" t="n">
        <v>13</v>
      </c>
      <c r="I867" s="1" t="n">
        <v>1179.1</v>
      </c>
      <c r="J867" s="1" t="n">
        <v>300</v>
      </c>
    </row>
    <row r="868" customFormat="false" ht="15" hidden="false" customHeight="true" outlineLevel="0" collapsed="false">
      <c r="A868" s="1" t="s">
        <v>278</v>
      </c>
      <c r="B868" s="1" t="s">
        <v>61</v>
      </c>
      <c r="C868" s="1" t="s">
        <v>274</v>
      </c>
      <c r="D868" s="1" t="n">
        <v>8</v>
      </c>
      <c r="E868" s="1" t="n">
        <v>32</v>
      </c>
      <c r="F868" s="1" t="s">
        <v>47</v>
      </c>
      <c r="G868" s="1" t="s">
        <v>48</v>
      </c>
      <c r="H868" s="1" t="n">
        <v>19</v>
      </c>
      <c r="I868" s="1" t="n">
        <v>1595.24</v>
      </c>
      <c r="J868" s="1" t="n">
        <v>300</v>
      </c>
    </row>
    <row r="869" customFormat="false" ht="15" hidden="false" customHeight="true" outlineLevel="0" collapsed="false">
      <c r="A869" s="1" t="s">
        <v>278</v>
      </c>
      <c r="B869" s="1" t="s">
        <v>61</v>
      </c>
      <c r="C869" s="1" t="s">
        <v>274</v>
      </c>
      <c r="D869" s="1" t="n">
        <v>8</v>
      </c>
      <c r="E869" s="1" t="n">
        <v>32</v>
      </c>
      <c r="F869" s="1" t="s">
        <v>49</v>
      </c>
      <c r="G869" s="1" t="s">
        <v>49</v>
      </c>
      <c r="H869" s="1" t="n">
        <v>22</v>
      </c>
      <c r="I869" s="1" t="n">
        <v>1574.98</v>
      </c>
      <c r="J869" s="1" t="n">
        <v>300</v>
      </c>
    </row>
    <row r="870" customFormat="false" ht="15" hidden="false" customHeight="true" outlineLevel="0" collapsed="false">
      <c r="A870" s="1" t="s">
        <v>279</v>
      </c>
      <c r="B870" s="1" t="s">
        <v>41</v>
      </c>
      <c r="C870" s="1" t="s">
        <v>274</v>
      </c>
      <c r="D870" s="1" t="n">
        <v>8</v>
      </c>
      <c r="E870" s="1" t="n">
        <v>32</v>
      </c>
      <c r="F870" s="1" t="s">
        <v>43</v>
      </c>
      <c r="G870" s="1" t="s">
        <v>44</v>
      </c>
      <c r="H870" s="1" t="n">
        <v>58</v>
      </c>
      <c r="I870" s="1" t="n">
        <v>5705.46</v>
      </c>
      <c r="J870" s="1" t="n">
        <v>300</v>
      </c>
    </row>
    <row r="871" customFormat="false" ht="15" hidden="false" customHeight="true" outlineLevel="0" collapsed="false">
      <c r="A871" s="1" t="s">
        <v>279</v>
      </c>
      <c r="B871" s="1" t="s">
        <v>41</v>
      </c>
      <c r="C871" s="1" t="s">
        <v>274</v>
      </c>
      <c r="D871" s="1" t="n">
        <v>8</v>
      </c>
      <c r="E871" s="1" t="n">
        <v>32</v>
      </c>
      <c r="F871" s="1" t="s">
        <v>45</v>
      </c>
      <c r="G871" s="1" t="s">
        <v>46</v>
      </c>
      <c r="H871" s="1" t="n">
        <v>15</v>
      </c>
      <c r="I871" s="1" t="n">
        <v>1532.25</v>
      </c>
      <c r="J871" s="1" t="n">
        <v>300</v>
      </c>
    </row>
    <row r="872" customFormat="false" ht="15" hidden="false" customHeight="true" outlineLevel="0" collapsed="false">
      <c r="A872" s="1" t="s">
        <v>279</v>
      </c>
      <c r="B872" s="1" t="s">
        <v>41</v>
      </c>
      <c r="C872" s="1" t="s">
        <v>274</v>
      </c>
      <c r="D872" s="1" t="n">
        <v>8</v>
      </c>
      <c r="E872" s="1" t="n">
        <v>32</v>
      </c>
      <c r="F872" s="1" t="s">
        <v>47</v>
      </c>
      <c r="G872" s="1" t="s">
        <v>48</v>
      </c>
      <c r="H872" s="1" t="n">
        <v>19</v>
      </c>
      <c r="I872" s="1" t="n">
        <v>1608.35</v>
      </c>
      <c r="J872" s="1" t="n">
        <v>300</v>
      </c>
    </row>
    <row r="873" customFormat="false" ht="15" hidden="false" customHeight="true" outlineLevel="0" collapsed="false">
      <c r="A873" s="1" t="s">
        <v>279</v>
      </c>
      <c r="B873" s="1" t="s">
        <v>41</v>
      </c>
      <c r="C873" s="1" t="s">
        <v>274</v>
      </c>
      <c r="D873" s="1" t="n">
        <v>8</v>
      </c>
      <c r="E873" s="1" t="n">
        <v>32</v>
      </c>
      <c r="F873" s="1" t="s">
        <v>49</v>
      </c>
      <c r="G873" s="1" t="s">
        <v>49</v>
      </c>
      <c r="H873" s="1" t="n">
        <v>21</v>
      </c>
      <c r="I873" s="1" t="n">
        <v>1780.8</v>
      </c>
      <c r="J873" s="1" t="n">
        <v>300</v>
      </c>
    </row>
    <row r="874" customFormat="false" ht="15" hidden="false" customHeight="true" outlineLevel="0" collapsed="false">
      <c r="A874" s="1" t="s">
        <v>280</v>
      </c>
      <c r="B874" s="1" t="s">
        <v>51</v>
      </c>
      <c r="C874" s="1" t="s">
        <v>274</v>
      </c>
      <c r="D874" s="1" t="n">
        <v>8</v>
      </c>
      <c r="E874" s="1" t="n">
        <v>32</v>
      </c>
      <c r="F874" s="1" t="s">
        <v>43</v>
      </c>
      <c r="G874" s="1" t="s">
        <v>44</v>
      </c>
      <c r="H874" s="1" t="n">
        <v>59</v>
      </c>
      <c r="I874" s="1" t="n">
        <v>6289.99</v>
      </c>
      <c r="J874" s="1" t="n">
        <v>300</v>
      </c>
    </row>
    <row r="875" customFormat="false" ht="15" hidden="false" customHeight="true" outlineLevel="0" collapsed="false">
      <c r="A875" s="1" t="s">
        <v>280</v>
      </c>
      <c r="B875" s="1" t="s">
        <v>51</v>
      </c>
      <c r="C875" s="1" t="s">
        <v>274</v>
      </c>
      <c r="D875" s="1" t="n">
        <v>8</v>
      </c>
      <c r="E875" s="1" t="n">
        <v>32</v>
      </c>
      <c r="F875" s="1" t="s">
        <v>45</v>
      </c>
      <c r="G875" s="1" t="s">
        <v>46</v>
      </c>
      <c r="H875" s="1" t="n">
        <v>15</v>
      </c>
      <c r="I875" s="1" t="n">
        <v>1431.3</v>
      </c>
      <c r="J875" s="1" t="n">
        <v>300</v>
      </c>
    </row>
    <row r="876" customFormat="false" ht="15" hidden="false" customHeight="true" outlineLevel="0" collapsed="false">
      <c r="A876" s="1" t="s">
        <v>280</v>
      </c>
      <c r="B876" s="1" t="s">
        <v>51</v>
      </c>
      <c r="C876" s="1" t="s">
        <v>274</v>
      </c>
      <c r="D876" s="1" t="n">
        <v>8</v>
      </c>
      <c r="E876" s="1" t="n">
        <v>32</v>
      </c>
      <c r="F876" s="1" t="s">
        <v>47</v>
      </c>
      <c r="G876" s="1" t="s">
        <v>48</v>
      </c>
      <c r="H876" s="1" t="n">
        <v>19</v>
      </c>
      <c r="I876" s="1" t="n">
        <v>1722.35</v>
      </c>
      <c r="J876" s="1" t="n">
        <v>300</v>
      </c>
    </row>
    <row r="877" customFormat="false" ht="15" hidden="false" customHeight="true" outlineLevel="0" collapsed="false">
      <c r="A877" s="1" t="s">
        <v>280</v>
      </c>
      <c r="B877" s="1" t="s">
        <v>51</v>
      </c>
      <c r="C877" s="1" t="s">
        <v>274</v>
      </c>
      <c r="D877" s="1" t="n">
        <v>8</v>
      </c>
      <c r="E877" s="1" t="n">
        <v>32</v>
      </c>
      <c r="F877" s="1" t="s">
        <v>49</v>
      </c>
      <c r="G877" s="1" t="s">
        <v>49</v>
      </c>
      <c r="H877" s="1" t="n">
        <v>15</v>
      </c>
      <c r="I877" s="1" t="n">
        <v>1237.5</v>
      </c>
      <c r="J877" s="1" t="n">
        <v>300</v>
      </c>
    </row>
    <row r="878" customFormat="false" ht="15" hidden="false" customHeight="true" outlineLevel="0" collapsed="false">
      <c r="A878" s="1" t="s">
        <v>281</v>
      </c>
      <c r="B878" s="1" t="s">
        <v>53</v>
      </c>
      <c r="C878" s="1" t="s">
        <v>274</v>
      </c>
      <c r="D878" s="1" t="n">
        <v>8</v>
      </c>
      <c r="E878" s="1" t="n">
        <v>32</v>
      </c>
      <c r="F878" s="1" t="s">
        <v>43</v>
      </c>
      <c r="G878" s="1" t="s">
        <v>44</v>
      </c>
      <c r="H878" s="1" t="n">
        <v>61</v>
      </c>
      <c r="I878" s="1" t="n">
        <v>5707.16</v>
      </c>
      <c r="J878" s="1" t="n">
        <v>300</v>
      </c>
    </row>
    <row r="879" customFormat="false" ht="15" hidden="false" customHeight="true" outlineLevel="0" collapsed="false">
      <c r="A879" s="1" t="s">
        <v>281</v>
      </c>
      <c r="B879" s="1" t="s">
        <v>53</v>
      </c>
      <c r="C879" s="1" t="s">
        <v>274</v>
      </c>
      <c r="D879" s="1" t="n">
        <v>8</v>
      </c>
      <c r="E879" s="1" t="n">
        <v>32</v>
      </c>
      <c r="F879" s="1" t="s">
        <v>45</v>
      </c>
      <c r="G879" s="1" t="s">
        <v>46</v>
      </c>
      <c r="H879" s="1" t="n">
        <v>14</v>
      </c>
      <c r="I879" s="1" t="n">
        <v>1403.78</v>
      </c>
      <c r="J879" s="1" t="n">
        <v>300</v>
      </c>
    </row>
    <row r="880" customFormat="false" ht="15" hidden="false" customHeight="true" outlineLevel="0" collapsed="false">
      <c r="A880" s="1" t="s">
        <v>281</v>
      </c>
      <c r="B880" s="1" t="s">
        <v>53</v>
      </c>
      <c r="C880" s="1" t="s">
        <v>274</v>
      </c>
      <c r="D880" s="1" t="n">
        <v>8</v>
      </c>
      <c r="E880" s="1" t="n">
        <v>32</v>
      </c>
      <c r="F880" s="1" t="s">
        <v>47</v>
      </c>
      <c r="G880" s="1" t="s">
        <v>48</v>
      </c>
      <c r="H880" s="1" t="n">
        <v>19</v>
      </c>
      <c r="I880" s="1" t="n">
        <v>1717.6</v>
      </c>
      <c r="J880" s="1" t="n">
        <v>300</v>
      </c>
    </row>
    <row r="881" customFormat="false" ht="15" hidden="false" customHeight="true" outlineLevel="0" collapsed="false">
      <c r="A881" s="1" t="s">
        <v>281</v>
      </c>
      <c r="B881" s="1" t="s">
        <v>53</v>
      </c>
      <c r="C881" s="1" t="s">
        <v>274</v>
      </c>
      <c r="D881" s="1" t="n">
        <v>8</v>
      </c>
      <c r="E881" s="1" t="n">
        <v>32</v>
      </c>
      <c r="F881" s="1" t="s">
        <v>49</v>
      </c>
      <c r="G881" s="1" t="s">
        <v>49</v>
      </c>
      <c r="H881" s="1" t="n">
        <v>23</v>
      </c>
      <c r="I881" s="1" t="n">
        <v>1967.19</v>
      </c>
      <c r="J881" s="1" t="n">
        <v>300</v>
      </c>
    </row>
    <row r="882" customFormat="false" ht="15" hidden="false" customHeight="true" outlineLevel="0" collapsed="false">
      <c r="A882" s="1" t="s">
        <v>282</v>
      </c>
      <c r="B882" s="1" t="s">
        <v>55</v>
      </c>
      <c r="C882" s="1" t="s">
        <v>274</v>
      </c>
      <c r="D882" s="1" t="n">
        <v>8</v>
      </c>
      <c r="E882" s="1" t="n">
        <v>32</v>
      </c>
      <c r="F882" s="1" t="s">
        <v>43</v>
      </c>
      <c r="G882" s="1" t="s">
        <v>44</v>
      </c>
      <c r="H882" s="1" t="n">
        <v>14</v>
      </c>
      <c r="I882" s="1" t="n">
        <v>1537.06</v>
      </c>
      <c r="J882" s="1" t="n">
        <v>300</v>
      </c>
    </row>
    <row r="883" customFormat="false" ht="15" hidden="false" customHeight="true" outlineLevel="0" collapsed="false">
      <c r="A883" s="1" t="s">
        <v>282</v>
      </c>
      <c r="B883" s="1" t="s">
        <v>55</v>
      </c>
      <c r="C883" s="1" t="s">
        <v>274</v>
      </c>
      <c r="D883" s="1" t="n">
        <v>8</v>
      </c>
      <c r="E883" s="1" t="n">
        <v>32</v>
      </c>
      <c r="F883" s="1" t="s">
        <v>45</v>
      </c>
      <c r="G883" s="1" t="s">
        <v>46</v>
      </c>
      <c r="H883" s="1" t="n">
        <v>38</v>
      </c>
      <c r="I883" s="1" t="n">
        <v>3181.74</v>
      </c>
      <c r="J883" s="1" t="n">
        <v>300</v>
      </c>
    </row>
    <row r="884" customFormat="false" ht="15" hidden="false" customHeight="true" outlineLevel="0" collapsed="false">
      <c r="A884" s="1" t="s">
        <v>282</v>
      </c>
      <c r="B884" s="1" t="s">
        <v>55</v>
      </c>
      <c r="C884" s="1" t="s">
        <v>274</v>
      </c>
      <c r="D884" s="1" t="n">
        <v>8</v>
      </c>
      <c r="E884" s="1" t="n">
        <v>32</v>
      </c>
      <c r="F884" s="1" t="s">
        <v>47</v>
      </c>
      <c r="G884" s="1" t="s">
        <v>48</v>
      </c>
      <c r="H884" s="1" t="n">
        <v>10</v>
      </c>
      <c r="I884" s="1" t="n">
        <v>811.8</v>
      </c>
      <c r="J884" s="1" t="n">
        <v>300</v>
      </c>
    </row>
    <row r="885" customFormat="false" ht="15" hidden="false" customHeight="true" outlineLevel="0" collapsed="false">
      <c r="A885" s="1" t="s">
        <v>282</v>
      </c>
      <c r="B885" s="1" t="s">
        <v>55</v>
      </c>
      <c r="C885" s="1" t="s">
        <v>274</v>
      </c>
      <c r="D885" s="1" t="n">
        <v>8</v>
      </c>
      <c r="E885" s="1" t="n">
        <v>32</v>
      </c>
      <c r="F885" s="1" t="s">
        <v>49</v>
      </c>
      <c r="G885" s="1" t="s">
        <v>49</v>
      </c>
      <c r="H885" s="1" t="n">
        <v>31</v>
      </c>
      <c r="I885" s="1" t="n">
        <v>2431.64</v>
      </c>
      <c r="J885" s="1" t="n">
        <v>300</v>
      </c>
    </row>
    <row r="886" customFormat="false" ht="15" hidden="false" customHeight="true" outlineLevel="0" collapsed="false">
      <c r="A886" s="1" t="s">
        <v>283</v>
      </c>
      <c r="B886" s="1" t="s">
        <v>57</v>
      </c>
      <c r="C886" s="1" t="s">
        <v>274</v>
      </c>
      <c r="D886" s="1" t="n">
        <v>8</v>
      </c>
      <c r="E886" s="1" t="n">
        <v>32</v>
      </c>
      <c r="F886" s="1" t="s">
        <v>43</v>
      </c>
      <c r="G886" s="1" t="s">
        <v>44</v>
      </c>
      <c r="H886" s="1" t="n">
        <v>12</v>
      </c>
      <c r="I886" s="1" t="n">
        <v>1303.08</v>
      </c>
      <c r="J886" s="1" t="n">
        <v>300</v>
      </c>
    </row>
    <row r="887" customFormat="false" ht="15" hidden="false" customHeight="true" outlineLevel="0" collapsed="false">
      <c r="A887" s="1" t="s">
        <v>283</v>
      </c>
      <c r="B887" s="1" t="s">
        <v>57</v>
      </c>
      <c r="C887" s="1" t="s">
        <v>274</v>
      </c>
      <c r="D887" s="1" t="n">
        <v>8</v>
      </c>
      <c r="E887" s="1" t="n">
        <v>32</v>
      </c>
      <c r="F887" s="1" t="s">
        <v>45</v>
      </c>
      <c r="G887" s="1" t="s">
        <v>46</v>
      </c>
      <c r="H887" s="1" t="n">
        <v>38</v>
      </c>
      <c r="I887" s="1" t="n">
        <v>3878.28</v>
      </c>
      <c r="J887" s="1" t="n">
        <v>300</v>
      </c>
    </row>
    <row r="888" customFormat="false" ht="15" hidden="false" customHeight="true" outlineLevel="0" collapsed="false">
      <c r="A888" s="1" t="s">
        <v>283</v>
      </c>
      <c r="B888" s="1" t="s">
        <v>57</v>
      </c>
      <c r="C888" s="1" t="s">
        <v>274</v>
      </c>
      <c r="D888" s="1" t="n">
        <v>8</v>
      </c>
      <c r="E888" s="1" t="n">
        <v>32</v>
      </c>
      <c r="F888" s="1" t="s">
        <v>47</v>
      </c>
      <c r="G888" s="1" t="s">
        <v>48</v>
      </c>
      <c r="H888" s="1" t="n">
        <v>10</v>
      </c>
      <c r="I888" s="1" t="n">
        <v>865.1</v>
      </c>
      <c r="J888" s="1" t="n">
        <v>300</v>
      </c>
    </row>
    <row r="889" customFormat="false" ht="15" hidden="false" customHeight="true" outlineLevel="0" collapsed="false">
      <c r="A889" s="1" t="s">
        <v>283</v>
      </c>
      <c r="B889" s="1" t="s">
        <v>57</v>
      </c>
      <c r="C889" s="1" t="s">
        <v>274</v>
      </c>
      <c r="D889" s="1" t="n">
        <v>8</v>
      </c>
      <c r="E889" s="1" t="n">
        <v>32</v>
      </c>
      <c r="F889" s="1" t="s">
        <v>49</v>
      </c>
      <c r="G889" s="1" t="s">
        <v>49</v>
      </c>
      <c r="H889" s="1" t="n">
        <v>24</v>
      </c>
      <c r="I889" s="1" t="n">
        <v>1752</v>
      </c>
      <c r="J889" s="1" t="n">
        <v>300</v>
      </c>
    </row>
    <row r="890" customFormat="false" ht="15" hidden="false" customHeight="true" outlineLevel="0" collapsed="false">
      <c r="A890" s="1" t="s">
        <v>284</v>
      </c>
      <c r="B890" s="1" t="s">
        <v>59</v>
      </c>
      <c r="C890" s="1" t="s">
        <v>274</v>
      </c>
      <c r="D890" s="1" t="n">
        <v>8</v>
      </c>
      <c r="E890" s="1" t="n">
        <v>33</v>
      </c>
      <c r="F890" s="1" t="s">
        <v>43</v>
      </c>
      <c r="G890" s="1" t="s">
        <v>44</v>
      </c>
      <c r="H890" s="1" t="n">
        <v>61</v>
      </c>
      <c r="I890" s="1" t="n">
        <v>6397.07</v>
      </c>
      <c r="J890" s="1" t="n">
        <v>300</v>
      </c>
    </row>
    <row r="891" customFormat="false" ht="15" hidden="false" customHeight="true" outlineLevel="0" collapsed="false">
      <c r="A891" s="1" t="s">
        <v>284</v>
      </c>
      <c r="B891" s="1" t="s">
        <v>59</v>
      </c>
      <c r="C891" s="1" t="s">
        <v>274</v>
      </c>
      <c r="D891" s="1" t="n">
        <v>8</v>
      </c>
      <c r="E891" s="1" t="n">
        <v>33</v>
      </c>
      <c r="F891" s="1" t="s">
        <v>45</v>
      </c>
      <c r="G891" s="1" t="s">
        <v>46</v>
      </c>
      <c r="H891" s="1" t="n">
        <v>13</v>
      </c>
      <c r="I891" s="1" t="n">
        <v>1154.27</v>
      </c>
      <c r="J891" s="1" t="n">
        <v>300</v>
      </c>
    </row>
    <row r="892" customFormat="false" ht="15" hidden="false" customHeight="true" outlineLevel="0" collapsed="false">
      <c r="A892" s="1" t="s">
        <v>284</v>
      </c>
      <c r="B892" s="1" t="s">
        <v>59</v>
      </c>
      <c r="C892" s="1" t="s">
        <v>274</v>
      </c>
      <c r="D892" s="1" t="n">
        <v>8</v>
      </c>
      <c r="E892" s="1" t="n">
        <v>33</v>
      </c>
      <c r="F892" s="1" t="s">
        <v>47</v>
      </c>
      <c r="G892" s="1" t="s">
        <v>48</v>
      </c>
      <c r="H892" s="1" t="n">
        <v>17</v>
      </c>
      <c r="I892" s="1" t="n">
        <v>1446.36</v>
      </c>
      <c r="J892" s="1" t="n">
        <v>300</v>
      </c>
    </row>
    <row r="893" customFormat="false" ht="15" hidden="false" customHeight="true" outlineLevel="0" collapsed="false">
      <c r="A893" s="1" t="s">
        <v>284</v>
      </c>
      <c r="B893" s="1" t="s">
        <v>59</v>
      </c>
      <c r="C893" s="1" t="s">
        <v>274</v>
      </c>
      <c r="D893" s="1" t="n">
        <v>8</v>
      </c>
      <c r="E893" s="1" t="n">
        <v>33</v>
      </c>
      <c r="F893" s="1" t="s">
        <v>49</v>
      </c>
      <c r="G893" s="1" t="s">
        <v>49</v>
      </c>
      <c r="H893" s="1" t="n">
        <v>18</v>
      </c>
      <c r="I893" s="1" t="n">
        <v>1492.02</v>
      </c>
      <c r="J893" s="1" t="n">
        <v>300</v>
      </c>
    </row>
    <row r="894" customFormat="false" ht="15" hidden="false" customHeight="true" outlineLevel="0" collapsed="false">
      <c r="A894" s="1" t="s">
        <v>285</v>
      </c>
      <c r="B894" s="1" t="s">
        <v>61</v>
      </c>
      <c r="C894" s="1" t="s">
        <v>274</v>
      </c>
      <c r="D894" s="1" t="n">
        <v>8</v>
      </c>
      <c r="E894" s="1" t="n">
        <v>33</v>
      </c>
      <c r="F894" s="1" t="s">
        <v>43</v>
      </c>
      <c r="G894" s="1" t="s">
        <v>44</v>
      </c>
      <c r="H894" s="1" t="n">
        <v>65</v>
      </c>
      <c r="I894" s="1" t="n">
        <v>6234.8</v>
      </c>
      <c r="J894" s="1" t="n">
        <v>300</v>
      </c>
    </row>
    <row r="895" customFormat="false" ht="15" hidden="false" customHeight="true" outlineLevel="0" collapsed="false">
      <c r="A895" s="1" t="s">
        <v>285</v>
      </c>
      <c r="B895" s="1" t="s">
        <v>61</v>
      </c>
      <c r="C895" s="1" t="s">
        <v>274</v>
      </c>
      <c r="D895" s="1" t="n">
        <v>8</v>
      </c>
      <c r="E895" s="1" t="n">
        <v>33</v>
      </c>
      <c r="F895" s="1" t="s">
        <v>45</v>
      </c>
      <c r="G895" s="1" t="s">
        <v>46</v>
      </c>
      <c r="H895" s="1" t="n">
        <v>13</v>
      </c>
      <c r="I895" s="1" t="n">
        <v>1149.98</v>
      </c>
      <c r="J895" s="1" t="n">
        <v>300</v>
      </c>
    </row>
    <row r="896" customFormat="false" ht="15" hidden="false" customHeight="true" outlineLevel="0" collapsed="false">
      <c r="A896" s="1" t="s">
        <v>285</v>
      </c>
      <c r="B896" s="1" t="s">
        <v>61</v>
      </c>
      <c r="C896" s="1" t="s">
        <v>274</v>
      </c>
      <c r="D896" s="1" t="n">
        <v>8</v>
      </c>
      <c r="E896" s="1" t="n">
        <v>33</v>
      </c>
      <c r="F896" s="1" t="s">
        <v>47</v>
      </c>
      <c r="G896" s="1" t="s">
        <v>48</v>
      </c>
      <c r="H896" s="1" t="n">
        <v>20</v>
      </c>
      <c r="I896" s="1" t="n">
        <v>1847.8</v>
      </c>
      <c r="J896" s="1" t="n">
        <v>300</v>
      </c>
    </row>
    <row r="897" customFormat="false" ht="15" hidden="false" customHeight="true" outlineLevel="0" collapsed="false">
      <c r="A897" s="1" t="s">
        <v>285</v>
      </c>
      <c r="B897" s="1" t="s">
        <v>61</v>
      </c>
      <c r="C897" s="1" t="s">
        <v>274</v>
      </c>
      <c r="D897" s="1" t="n">
        <v>8</v>
      </c>
      <c r="E897" s="1" t="n">
        <v>33</v>
      </c>
      <c r="F897" s="1" t="s">
        <v>49</v>
      </c>
      <c r="G897" s="1" t="s">
        <v>49</v>
      </c>
      <c r="H897" s="1" t="n">
        <v>17</v>
      </c>
      <c r="I897" s="1" t="n">
        <v>1356.94</v>
      </c>
      <c r="J897" s="1" t="n">
        <v>300</v>
      </c>
    </row>
    <row r="898" customFormat="false" ht="15" hidden="false" customHeight="true" outlineLevel="0" collapsed="false">
      <c r="A898" s="1" t="s">
        <v>286</v>
      </c>
      <c r="B898" s="1" t="s">
        <v>41</v>
      </c>
      <c r="C898" s="1" t="s">
        <v>274</v>
      </c>
      <c r="D898" s="1" t="n">
        <v>8</v>
      </c>
      <c r="E898" s="1" t="n">
        <v>33</v>
      </c>
      <c r="F898" s="1" t="s">
        <v>43</v>
      </c>
      <c r="G898" s="1" t="s">
        <v>44</v>
      </c>
      <c r="H898" s="1" t="n">
        <v>64</v>
      </c>
      <c r="I898" s="1" t="n">
        <v>6997.76</v>
      </c>
      <c r="J898" s="1" t="n">
        <v>300</v>
      </c>
    </row>
    <row r="899" customFormat="false" ht="15" hidden="false" customHeight="true" outlineLevel="0" collapsed="false">
      <c r="A899" s="1" t="s">
        <v>286</v>
      </c>
      <c r="B899" s="1" t="s">
        <v>41</v>
      </c>
      <c r="C899" s="1" t="s">
        <v>274</v>
      </c>
      <c r="D899" s="1" t="n">
        <v>8</v>
      </c>
      <c r="E899" s="1" t="n">
        <v>33</v>
      </c>
      <c r="F899" s="1" t="s">
        <v>45</v>
      </c>
      <c r="G899" s="1" t="s">
        <v>46</v>
      </c>
      <c r="H899" s="1" t="n">
        <v>14</v>
      </c>
      <c r="I899" s="1" t="n">
        <v>1238.44</v>
      </c>
      <c r="J899" s="1" t="n">
        <v>300</v>
      </c>
    </row>
    <row r="900" customFormat="false" ht="15" hidden="false" customHeight="true" outlineLevel="0" collapsed="false">
      <c r="A900" s="1" t="s">
        <v>286</v>
      </c>
      <c r="B900" s="1" t="s">
        <v>41</v>
      </c>
      <c r="C900" s="1" t="s">
        <v>274</v>
      </c>
      <c r="D900" s="1" t="n">
        <v>8</v>
      </c>
      <c r="E900" s="1" t="n">
        <v>33</v>
      </c>
      <c r="F900" s="1" t="s">
        <v>47</v>
      </c>
      <c r="G900" s="1" t="s">
        <v>48</v>
      </c>
      <c r="H900" s="1" t="n">
        <v>18</v>
      </c>
      <c r="I900" s="1" t="n">
        <v>1465.74</v>
      </c>
      <c r="J900" s="1" t="n">
        <v>300</v>
      </c>
    </row>
    <row r="901" customFormat="false" ht="15" hidden="false" customHeight="true" outlineLevel="0" collapsed="false">
      <c r="A901" s="1" t="s">
        <v>286</v>
      </c>
      <c r="B901" s="1" t="s">
        <v>41</v>
      </c>
      <c r="C901" s="1" t="s">
        <v>274</v>
      </c>
      <c r="D901" s="1" t="n">
        <v>8</v>
      </c>
      <c r="E901" s="1" t="n">
        <v>33</v>
      </c>
      <c r="F901" s="1" t="s">
        <v>49</v>
      </c>
      <c r="G901" s="1" t="s">
        <v>49</v>
      </c>
      <c r="H901" s="1" t="n">
        <v>22</v>
      </c>
      <c r="I901" s="1" t="n">
        <v>1746.36</v>
      </c>
      <c r="J901" s="1" t="n">
        <v>300</v>
      </c>
    </row>
    <row r="902" customFormat="false" ht="15" hidden="false" customHeight="true" outlineLevel="0" collapsed="false">
      <c r="A902" s="1" t="s">
        <v>287</v>
      </c>
      <c r="B902" s="1" t="s">
        <v>51</v>
      </c>
      <c r="C902" s="1" t="s">
        <v>274</v>
      </c>
      <c r="D902" s="1" t="n">
        <v>8</v>
      </c>
      <c r="E902" s="1" t="n">
        <v>33</v>
      </c>
      <c r="F902" s="1" t="s">
        <v>43</v>
      </c>
      <c r="G902" s="1" t="s">
        <v>44</v>
      </c>
      <c r="H902" s="1" t="n">
        <v>76</v>
      </c>
      <c r="I902" s="1" t="n">
        <v>7959.48</v>
      </c>
      <c r="J902" s="1" t="n">
        <v>300</v>
      </c>
    </row>
    <row r="903" customFormat="false" ht="15" hidden="false" customHeight="true" outlineLevel="0" collapsed="false">
      <c r="A903" s="1" t="s">
        <v>287</v>
      </c>
      <c r="B903" s="1" t="s">
        <v>51</v>
      </c>
      <c r="C903" s="1" t="s">
        <v>274</v>
      </c>
      <c r="D903" s="1" t="n">
        <v>8</v>
      </c>
      <c r="E903" s="1" t="n">
        <v>33</v>
      </c>
      <c r="F903" s="1" t="s">
        <v>45</v>
      </c>
      <c r="G903" s="1" t="s">
        <v>46</v>
      </c>
      <c r="H903" s="1" t="n">
        <v>13</v>
      </c>
      <c r="I903" s="1" t="n">
        <v>1094.86</v>
      </c>
      <c r="J903" s="1" t="n">
        <v>300</v>
      </c>
    </row>
    <row r="904" customFormat="false" ht="15" hidden="false" customHeight="true" outlineLevel="0" collapsed="false">
      <c r="A904" s="1" t="s">
        <v>287</v>
      </c>
      <c r="B904" s="1" t="s">
        <v>51</v>
      </c>
      <c r="C904" s="1" t="s">
        <v>274</v>
      </c>
      <c r="D904" s="1" t="n">
        <v>8</v>
      </c>
      <c r="E904" s="1" t="n">
        <v>33</v>
      </c>
      <c r="F904" s="1" t="s">
        <v>47</v>
      </c>
      <c r="G904" s="1" t="s">
        <v>48</v>
      </c>
      <c r="H904" s="1" t="n">
        <v>16</v>
      </c>
      <c r="I904" s="1" t="n">
        <v>1238.08</v>
      </c>
      <c r="J904" s="1" t="n">
        <v>300</v>
      </c>
    </row>
    <row r="905" customFormat="false" ht="15" hidden="false" customHeight="true" outlineLevel="0" collapsed="false">
      <c r="A905" s="1" t="s">
        <v>287</v>
      </c>
      <c r="B905" s="1" t="s">
        <v>51</v>
      </c>
      <c r="C905" s="1" t="s">
        <v>274</v>
      </c>
      <c r="D905" s="1" t="n">
        <v>8</v>
      </c>
      <c r="E905" s="1" t="n">
        <v>33</v>
      </c>
      <c r="F905" s="1" t="s">
        <v>49</v>
      </c>
      <c r="G905" s="1" t="s">
        <v>49</v>
      </c>
      <c r="H905" s="1" t="n">
        <v>21</v>
      </c>
      <c r="I905" s="1" t="n">
        <v>1715.7</v>
      </c>
      <c r="J905" s="1" t="n">
        <v>300</v>
      </c>
    </row>
    <row r="906" customFormat="false" ht="15" hidden="false" customHeight="true" outlineLevel="0" collapsed="false">
      <c r="A906" s="1" t="s">
        <v>288</v>
      </c>
      <c r="B906" s="1" t="s">
        <v>53</v>
      </c>
      <c r="C906" s="1" t="s">
        <v>274</v>
      </c>
      <c r="D906" s="1" t="n">
        <v>8</v>
      </c>
      <c r="E906" s="1" t="n">
        <v>33</v>
      </c>
      <c r="F906" s="1" t="s">
        <v>43</v>
      </c>
      <c r="G906" s="1" t="s">
        <v>44</v>
      </c>
      <c r="H906" s="1" t="n">
        <v>55</v>
      </c>
      <c r="I906" s="1" t="n">
        <v>6091.25</v>
      </c>
      <c r="J906" s="1" t="n">
        <v>300</v>
      </c>
    </row>
    <row r="907" customFormat="false" ht="15" hidden="false" customHeight="true" outlineLevel="0" collapsed="false">
      <c r="A907" s="1" t="s">
        <v>288</v>
      </c>
      <c r="B907" s="1" t="s">
        <v>53</v>
      </c>
      <c r="C907" s="1" t="s">
        <v>274</v>
      </c>
      <c r="D907" s="1" t="n">
        <v>8</v>
      </c>
      <c r="E907" s="1" t="n">
        <v>33</v>
      </c>
      <c r="F907" s="1" t="s">
        <v>45</v>
      </c>
      <c r="G907" s="1" t="s">
        <v>46</v>
      </c>
      <c r="H907" s="1" t="n">
        <v>13</v>
      </c>
      <c r="I907" s="1" t="n">
        <v>1214.85</v>
      </c>
      <c r="J907" s="1" t="n">
        <v>300</v>
      </c>
    </row>
    <row r="908" customFormat="false" ht="15" hidden="false" customHeight="true" outlineLevel="0" collapsed="false">
      <c r="A908" s="1" t="s">
        <v>288</v>
      </c>
      <c r="B908" s="1" t="s">
        <v>53</v>
      </c>
      <c r="C908" s="1" t="s">
        <v>274</v>
      </c>
      <c r="D908" s="1" t="n">
        <v>8</v>
      </c>
      <c r="E908" s="1" t="n">
        <v>33</v>
      </c>
      <c r="F908" s="1" t="s">
        <v>47</v>
      </c>
      <c r="G908" s="1" t="s">
        <v>48</v>
      </c>
      <c r="H908" s="1" t="n">
        <v>22</v>
      </c>
      <c r="I908" s="1" t="n">
        <v>1982.42</v>
      </c>
      <c r="J908" s="1" t="n">
        <v>300</v>
      </c>
    </row>
    <row r="909" customFormat="false" ht="15" hidden="false" customHeight="true" outlineLevel="0" collapsed="false">
      <c r="A909" s="1" t="s">
        <v>288</v>
      </c>
      <c r="B909" s="1" t="s">
        <v>53</v>
      </c>
      <c r="C909" s="1" t="s">
        <v>274</v>
      </c>
      <c r="D909" s="1" t="n">
        <v>8</v>
      </c>
      <c r="E909" s="1" t="n">
        <v>33</v>
      </c>
      <c r="F909" s="1" t="s">
        <v>49</v>
      </c>
      <c r="G909" s="1" t="s">
        <v>49</v>
      </c>
      <c r="H909" s="1" t="n">
        <v>20</v>
      </c>
      <c r="I909" s="1" t="n">
        <v>1500.8</v>
      </c>
      <c r="J909" s="1" t="n">
        <v>300</v>
      </c>
    </row>
    <row r="910" customFormat="false" ht="15" hidden="false" customHeight="true" outlineLevel="0" collapsed="false">
      <c r="A910" s="1" t="s">
        <v>289</v>
      </c>
      <c r="B910" s="1" t="s">
        <v>55</v>
      </c>
      <c r="C910" s="1" t="s">
        <v>274</v>
      </c>
      <c r="D910" s="1" t="n">
        <v>8</v>
      </c>
      <c r="E910" s="1" t="n">
        <v>33</v>
      </c>
      <c r="F910" s="1" t="s">
        <v>43</v>
      </c>
      <c r="G910" s="1" t="s">
        <v>44</v>
      </c>
      <c r="H910" s="1" t="n">
        <v>10</v>
      </c>
      <c r="I910" s="1" t="n">
        <v>1005.7</v>
      </c>
      <c r="J910" s="1" t="n">
        <v>300</v>
      </c>
    </row>
    <row r="911" customFormat="false" ht="15" hidden="false" customHeight="true" outlineLevel="0" collapsed="false">
      <c r="A911" s="1" t="s">
        <v>289</v>
      </c>
      <c r="B911" s="1" t="s">
        <v>55</v>
      </c>
      <c r="C911" s="1" t="s">
        <v>274</v>
      </c>
      <c r="D911" s="1" t="n">
        <v>8</v>
      </c>
      <c r="E911" s="1" t="n">
        <v>33</v>
      </c>
      <c r="F911" s="1" t="s">
        <v>45</v>
      </c>
      <c r="G911" s="1" t="s">
        <v>46</v>
      </c>
      <c r="H911" s="1" t="n">
        <v>37</v>
      </c>
      <c r="I911" s="1" t="n">
        <v>3224.55</v>
      </c>
      <c r="J911" s="1" t="n">
        <v>300</v>
      </c>
    </row>
    <row r="912" customFormat="false" ht="15" hidden="false" customHeight="true" outlineLevel="0" collapsed="false">
      <c r="A912" s="1" t="s">
        <v>289</v>
      </c>
      <c r="B912" s="1" t="s">
        <v>55</v>
      </c>
      <c r="C912" s="1" t="s">
        <v>274</v>
      </c>
      <c r="D912" s="1" t="n">
        <v>8</v>
      </c>
      <c r="E912" s="1" t="n">
        <v>33</v>
      </c>
      <c r="F912" s="1" t="s">
        <v>47</v>
      </c>
      <c r="G912" s="1" t="s">
        <v>48</v>
      </c>
      <c r="H912" s="1" t="n">
        <v>10</v>
      </c>
      <c r="I912" s="1" t="n">
        <v>859.1</v>
      </c>
      <c r="J912" s="1" t="n">
        <v>300</v>
      </c>
    </row>
    <row r="913" customFormat="false" ht="15" hidden="false" customHeight="true" outlineLevel="0" collapsed="false">
      <c r="A913" s="1" t="s">
        <v>289</v>
      </c>
      <c r="B913" s="1" t="s">
        <v>55</v>
      </c>
      <c r="C913" s="1" t="s">
        <v>274</v>
      </c>
      <c r="D913" s="1" t="n">
        <v>8</v>
      </c>
      <c r="E913" s="1" t="n">
        <v>33</v>
      </c>
      <c r="F913" s="1" t="s">
        <v>49</v>
      </c>
      <c r="G913" s="1" t="s">
        <v>49</v>
      </c>
      <c r="H913" s="1" t="n">
        <v>25</v>
      </c>
      <c r="I913" s="1" t="n">
        <v>1904.5</v>
      </c>
      <c r="J913" s="1" t="n">
        <v>300</v>
      </c>
    </row>
    <row r="914" customFormat="false" ht="15" hidden="false" customHeight="true" outlineLevel="0" collapsed="false">
      <c r="A914" s="1" t="s">
        <v>290</v>
      </c>
      <c r="B914" s="1" t="s">
        <v>57</v>
      </c>
      <c r="C914" s="1" t="s">
        <v>274</v>
      </c>
      <c r="D914" s="1" t="n">
        <v>8</v>
      </c>
      <c r="E914" s="1" t="n">
        <v>33</v>
      </c>
      <c r="F914" s="1" t="s">
        <v>43</v>
      </c>
      <c r="G914" s="1" t="s">
        <v>44</v>
      </c>
      <c r="H914" s="1" t="n">
        <v>12</v>
      </c>
      <c r="I914" s="1" t="n">
        <v>1294.68</v>
      </c>
      <c r="J914" s="1" t="n">
        <v>300</v>
      </c>
    </row>
    <row r="915" customFormat="false" ht="15" hidden="false" customHeight="true" outlineLevel="0" collapsed="false">
      <c r="A915" s="1" t="s">
        <v>290</v>
      </c>
      <c r="B915" s="1" t="s">
        <v>57</v>
      </c>
      <c r="C915" s="1" t="s">
        <v>274</v>
      </c>
      <c r="D915" s="1" t="n">
        <v>8</v>
      </c>
      <c r="E915" s="1" t="n">
        <v>33</v>
      </c>
      <c r="F915" s="1" t="s">
        <v>45</v>
      </c>
      <c r="G915" s="1" t="s">
        <v>46</v>
      </c>
      <c r="H915" s="1" t="n">
        <v>34</v>
      </c>
      <c r="I915" s="1" t="n">
        <v>3416.32</v>
      </c>
      <c r="J915" s="1" t="n">
        <v>300</v>
      </c>
    </row>
    <row r="916" customFormat="false" ht="15" hidden="false" customHeight="true" outlineLevel="0" collapsed="false">
      <c r="A916" s="1" t="s">
        <v>290</v>
      </c>
      <c r="B916" s="1" t="s">
        <v>57</v>
      </c>
      <c r="C916" s="1" t="s">
        <v>274</v>
      </c>
      <c r="D916" s="1" t="n">
        <v>8</v>
      </c>
      <c r="E916" s="1" t="n">
        <v>33</v>
      </c>
      <c r="F916" s="1" t="s">
        <v>47</v>
      </c>
      <c r="G916" s="1" t="s">
        <v>48</v>
      </c>
      <c r="H916" s="1" t="n">
        <v>10</v>
      </c>
      <c r="I916" s="1" t="n">
        <v>856.1</v>
      </c>
      <c r="J916" s="1" t="n">
        <v>300</v>
      </c>
    </row>
    <row r="917" customFormat="false" ht="15" hidden="false" customHeight="true" outlineLevel="0" collapsed="false">
      <c r="A917" s="1" t="s">
        <v>290</v>
      </c>
      <c r="B917" s="1" t="s">
        <v>57</v>
      </c>
      <c r="C917" s="1" t="s">
        <v>274</v>
      </c>
      <c r="D917" s="1" t="n">
        <v>8</v>
      </c>
      <c r="E917" s="1" t="n">
        <v>33</v>
      </c>
      <c r="F917" s="1" t="s">
        <v>49</v>
      </c>
      <c r="G917" s="1" t="s">
        <v>49</v>
      </c>
      <c r="H917" s="1" t="n">
        <v>27</v>
      </c>
      <c r="I917" s="1" t="n">
        <v>2170.53</v>
      </c>
      <c r="J917" s="1" t="n">
        <v>300</v>
      </c>
    </row>
    <row r="918" customFormat="false" ht="15" hidden="false" customHeight="true" outlineLevel="0" collapsed="false">
      <c r="A918" s="1" t="s">
        <v>291</v>
      </c>
      <c r="B918" s="1" t="s">
        <v>59</v>
      </c>
      <c r="C918" s="1" t="s">
        <v>274</v>
      </c>
      <c r="D918" s="1" t="n">
        <v>8</v>
      </c>
      <c r="E918" s="1" t="n">
        <v>34</v>
      </c>
      <c r="F918" s="1" t="s">
        <v>43</v>
      </c>
      <c r="G918" s="1" t="s">
        <v>44</v>
      </c>
      <c r="H918" s="1" t="n">
        <v>70</v>
      </c>
      <c r="I918" s="1" t="n">
        <v>7484.4</v>
      </c>
      <c r="J918" s="1" t="n">
        <v>300</v>
      </c>
    </row>
    <row r="919" customFormat="false" ht="15" hidden="false" customHeight="true" outlineLevel="0" collapsed="false">
      <c r="A919" s="1" t="s">
        <v>291</v>
      </c>
      <c r="B919" s="1" t="s">
        <v>59</v>
      </c>
      <c r="C919" s="1" t="s">
        <v>274</v>
      </c>
      <c r="D919" s="1" t="n">
        <v>8</v>
      </c>
      <c r="E919" s="1" t="n">
        <v>34</v>
      </c>
      <c r="F919" s="1" t="s">
        <v>45</v>
      </c>
      <c r="G919" s="1" t="s">
        <v>46</v>
      </c>
      <c r="H919" s="1" t="n">
        <v>13</v>
      </c>
      <c r="I919" s="1" t="n">
        <v>1230.45</v>
      </c>
      <c r="J919" s="1" t="n">
        <v>300</v>
      </c>
    </row>
    <row r="920" customFormat="false" ht="15" hidden="false" customHeight="true" outlineLevel="0" collapsed="false">
      <c r="A920" s="1" t="s">
        <v>291</v>
      </c>
      <c r="B920" s="1" t="s">
        <v>59</v>
      </c>
      <c r="C920" s="1" t="s">
        <v>274</v>
      </c>
      <c r="D920" s="1" t="n">
        <v>8</v>
      </c>
      <c r="E920" s="1" t="n">
        <v>34</v>
      </c>
      <c r="F920" s="1" t="s">
        <v>47</v>
      </c>
      <c r="G920" s="1" t="s">
        <v>48</v>
      </c>
      <c r="H920" s="1" t="n">
        <v>17</v>
      </c>
      <c r="I920" s="1" t="n">
        <v>1463.19</v>
      </c>
      <c r="J920" s="1" t="n">
        <v>300</v>
      </c>
    </row>
    <row r="921" customFormat="false" ht="15" hidden="false" customHeight="true" outlineLevel="0" collapsed="false">
      <c r="A921" s="1" t="s">
        <v>291</v>
      </c>
      <c r="B921" s="1" t="s">
        <v>59</v>
      </c>
      <c r="C921" s="1" t="s">
        <v>274</v>
      </c>
      <c r="D921" s="1" t="n">
        <v>8</v>
      </c>
      <c r="E921" s="1" t="n">
        <v>34</v>
      </c>
      <c r="F921" s="1" t="s">
        <v>49</v>
      </c>
      <c r="G921" s="1" t="s">
        <v>49</v>
      </c>
      <c r="H921" s="1" t="n">
        <v>20</v>
      </c>
      <c r="I921" s="1" t="n">
        <v>1565.8</v>
      </c>
      <c r="J921" s="1" t="n">
        <v>300</v>
      </c>
    </row>
    <row r="922" customFormat="false" ht="15" hidden="false" customHeight="true" outlineLevel="0" collapsed="false">
      <c r="A922" s="1" t="s">
        <v>292</v>
      </c>
      <c r="B922" s="1" t="s">
        <v>61</v>
      </c>
      <c r="C922" s="1" t="s">
        <v>274</v>
      </c>
      <c r="D922" s="1" t="n">
        <v>8</v>
      </c>
      <c r="E922" s="1" t="n">
        <v>34</v>
      </c>
      <c r="F922" s="1" t="s">
        <v>43</v>
      </c>
      <c r="G922" s="1" t="s">
        <v>44</v>
      </c>
      <c r="H922" s="1" t="n">
        <v>64</v>
      </c>
      <c r="I922" s="1" t="n">
        <v>5967.36</v>
      </c>
      <c r="J922" s="1" t="n">
        <v>300</v>
      </c>
    </row>
    <row r="923" customFormat="false" ht="15" hidden="false" customHeight="true" outlineLevel="0" collapsed="false">
      <c r="A923" s="1" t="s">
        <v>292</v>
      </c>
      <c r="B923" s="1" t="s">
        <v>61</v>
      </c>
      <c r="C923" s="1" t="s">
        <v>274</v>
      </c>
      <c r="D923" s="1" t="n">
        <v>8</v>
      </c>
      <c r="E923" s="1" t="n">
        <v>34</v>
      </c>
      <c r="F923" s="1" t="s">
        <v>45</v>
      </c>
      <c r="G923" s="1" t="s">
        <v>46</v>
      </c>
      <c r="H923" s="1" t="n">
        <v>13</v>
      </c>
      <c r="I923" s="1" t="n">
        <v>1210.95</v>
      </c>
      <c r="J923" s="1" t="n">
        <v>300</v>
      </c>
    </row>
    <row r="924" customFormat="false" ht="15" hidden="false" customHeight="true" outlineLevel="0" collapsed="false">
      <c r="A924" s="1" t="s">
        <v>292</v>
      </c>
      <c r="B924" s="1" t="s">
        <v>61</v>
      </c>
      <c r="C924" s="1" t="s">
        <v>274</v>
      </c>
      <c r="D924" s="1" t="n">
        <v>8</v>
      </c>
      <c r="E924" s="1" t="n">
        <v>34</v>
      </c>
      <c r="F924" s="1" t="s">
        <v>47</v>
      </c>
      <c r="G924" s="1" t="s">
        <v>48</v>
      </c>
      <c r="H924" s="1" t="n">
        <v>19</v>
      </c>
      <c r="I924" s="1" t="n">
        <v>1524.56</v>
      </c>
      <c r="J924" s="1" t="n">
        <v>300</v>
      </c>
    </row>
    <row r="925" customFormat="false" ht="15" hidden="false" customHeight="true" outlineLevel="0" collapsed="false">
      <c r="A925" s="1" t="s">
        <v>292</v>
      </c>
      <c r="B925" s="1" t="s">
        <v>61</v>
      </c>
      <c r="C925" s="1" t="s">
        <v>274</v>
      </c>
      <c r="D925" s="1" t="n">
        <v>8</v>
      </c>
      <c r="E925" s="1" t="n">
        <v>34</v>
      </c>
      <c r="F925" s="1" t="s">
        <v>49</v>
      </c>
      <c r="G925" s="1" t="s">
        <v>49</v>
      </c>
      <c r="H925" s="1" t="n">
        <v>23</v>
      </c>
      <c r="I925" s="1" t="n">
        <v>1728.68</v>
      </c>
      <c r="J925" s="1" t="n">
        <v>300</v>
      </c>
    </row>
    <row r="926" customFormat="false" ht="15" hidden="false" customHeight="true" outlineLevel="0" collapsed="false">
      <c r="A926" s="1" t="s">
        <v>293</v>
      </c>
      <c r="B926" s="1" t="s">
        <v>41</v>
      </c>
      <c r="C926" s="1" t="s">
        <v>274</v>
      </c>
      <c r="D926" s="1" t="n">
        <v>8</v>
      </c>
      <c r="E926" s="1" t="n">
        <v>34</v>
      </c>
      <c r="F926" s="1" t="s">
        <v>43</v>
      </c>
      <c r="G926" s="1" t="s">
        <v>44</v>
      </c>
      <c r="H926" s="1" t="n">
        <v>70</v>
      </c>
      <c r="I926" s="1" t="n">
        <v>7546</v>
      </c>
      <c r="J926" s="1" t="n">
        <v>300</v>
      </c>
    </row>
    <row r="927" customFormat="false" ht="15" hidden="false" customHeight="true" outlineLevel="0" collapsed="false">
      <c r="A927" s="1" t="s">
        <v>293</v>
      </c>
      <c r="B927" s="1" t="s">
        <v>41</v>
      </c>
      <c r="C927" s="1" t="s">
        <v>274</v>
      </c>
      <c r="D927" s="1" t="n">
        <v>8</v>
      </c>
      <c r="E927" s="1" t="n">
        <v>34</v>
      </c>
      <c r="F927" s="1" t="s">
        <v>45</v>
      </c>
      <c r="G927" s="1" t="s">
        <v>46</v>
      </c>
      <c r="H927" s="1" t="n">
        <v>13</v>
      </c>
      <c r="I927" s="1" t="n">
        <v>1332.5</v>
      </c>
      <c r="J927" s="1" t="n">
        <v>300</v>
      </c>
    </row>
    <row r="928" customFormat="false" ht="15" hidden="false" customHeight="true" outlineLevel="0" collapsed="false">
      <c r="A928" s="1" t="s">
        <v>293</v>
      </c>
      <c r="B928" s="1" t="s">
        <v>41</v>
      </c>
      <c r="C928" s="1" t="s">
        <v>274</v>
      </c>
      <c r="D928" s="1" t="n">
        <v>8</v>
      </c>
      <c r="E928" s="1" t="n">
        <v>34</v>
      </c>
      <c r="F928" s="1" t="s">
        <v>47</v>
      </c>
      <c r="G928" s="1" t="s">
        <v>48</v>
      </c>
      <c r="H928" s="1" t="n">
        <v>17</v>
      </c>
      <c r="I928" s="1" t="n">
        <v>1533.91</v>
      </c>
      <c r="J928" s="1" t="n">
        <v>300</v>
      </c>
    </row>
    <row r="929" customFormat="false" ht="15" hidden="false" customHeight="true" outlineLevel="0" collapsed="false">
      <c r="A929" s="1" t="s">
        <v>293</v>
      </c>
      <c r="B929" s="1" t="s">
        <v>41</v>
      </c>
      <c r="C929" s="1" t="s">
        <v>274</v>
      </c>
      <c r="D929" s="1" t="n">
        <v>8</v>
      </c>
      <c r="E929" s="1" t="n">
        <v>34</v>
      </c>
      <c r="F929" s="1" t="s">
        <v>49</v>
      </c>
      <c r="G929" s="1" t="s">
        <v>49</v>
      </c>
      <c r="H929" s="1" t="n">
        <v>22</v>
      </c>
      <c r="I929" s="1" t="n">
        <v>1673.98</v>
      </c>
      <c r="J929" s="1" t="n">
        <v>300</v>
      </c>
    </row>
    <row r="930" customFormat="false" ht="15" hidden="false" customHeight="true" outlineLevel="0" collapsed="false">
      <c r="A930" s="1" t="s">
        <v>294</v>
      </c>
      <c r="B930" s="1" t="s">
        <v>51</v>
      </c>
      <c r="C930" s="1" t="s">
        <v>274</v>
      </c>
      <c r="D930" s="1" t="n">
        <v>8</v>
      </c>
      <c r="E930" s="1" t="n">
        <v>34</v>
      </c>
      <c r="F930" s="1" t="s">
        <v>43</v>
      </c>
      <c r="G930" s="1" t="s">
        <v>44</v>
      </c>
      <c r="H930" s="1" t="n">
        <v>73</v>
      </c>
      <c r="I930" s="1" t="n">
        <v>7557.69</v>
      </c>
      <c r="J930" s="1" t="n">
        <v>300</v>
      </c>
    </row>
    <row r="931" customFormat="false" ht="15" hidden="false" customHeight="true" outlineLevel="0" collapsed="false">
      <c r="A931" s="1" t="s">
        <v>294</v>
      </c>
      <c r="B931" s="1" t="s">
        <v>51</v>
      </c>
      <c r="C931" s="1" t="s">
        <v>274</v>
      </c>
      <c r="D931" s="1" t="n">
        <v>8</v>
      </c>
      <c r="E931" s="1" t="n">
        <v>34</v>
      </c>
      <c r="F931" s="1" t="s">
        <v>45</v>
      </c>
      <c r="G931" s="1" t="s">
        <v>46</v>
      </c>
      <c r="H931" s="1" t="n">
        <v>14</v>
      </c>
      <c r="I931" s="1" t="n">
        <v>1317.12</v>
      </c>
      <c r="J931" s="1" t="n">
        <v>300</v>
      </c>
    </row>
    <row r="932" customFormat="false" ht="15" hidden="false" customHeight="true" outlineLevel="0" collapsed="false">
      <c r="A932" s="1" t="s">
        <v>294</v>
      </c>
      <c r="B932" s="1" t="s">
        <v>51</v>
      </c>
      <c r="C932" s="1" t="s">
        <v>274</v>
      </c>
      <c r="D932" s="1" t="n">
        <v>8</v>
      </c>
      <c r="E932" s="1" t="n">
        <v>34</v>
      </c>
      <c r="F932" s="1" t="s">
        <v>47</v>
      </c>
      <c r="G932" s="1" t="s">
        <v>48</v>
      </c>
      <c r="H932" s="1" t="n">
        <v>19</v>
      </c>
      <c r="I932" s="1" t="n">
        <v>1703.73</v>
      </c>
      <c r="J932" s="1" t="n">
        <v>300</v>
      </c>
    </row>
    <row r="933" customFormat="false" ht="15" hidden="false" customHeight="true" outlineLevel="0" collapsed="false">
      <c r="A933" s="1" t="s">
        <v>294</v>
      </c>
      <c r="B933" s="1" t="s">
        <v>51</v>
      </c>
      <c r="C933" s="1" t="s">
        <v>274</v>
      </c>
      <c r="D933" s="1" t="n">
        <v>8</v>
      </c>
      <c r="E933" s="1" t="n">
        <v>34</v>
      </c>
      <c r="F933" s="1" t="s">
        <v>49</v>
      </c>
      <c r="G933" s="1" t="s">
        <v>49</v>
      </c>
      <c r="H933" s="1" t="n">
        <v>22</v>
      </c>
      <c r="I933" s="1" t="n">
        <v>1561.12</v>
      </c>
      <c r="J933" s="1" t="n">
        <v>300</v>
      </c>
    </row>
    <row r="934" customFormat="false" ht="15" hidden="false" customHeight="true" outlineLevel="0" collapsed="false">
      <c r="A934" s="1" t="s">
        <v>295</v>
      </c>
      <c r="B934" s="1" t="s">
        <v>53</v>
      </c>
      <c r="C934" s="1" t="s">
        <v>274</v>
      </c>
      <c r="D934" s="1" t="n">
        <v>8</v>
      </c>
      <c r="E934" s="1" t="n">
        <v>34</v>
      </c>
      <c r="F934" s="1" t="s">
        <v>43</v>
      </c>
      <c r="G934" s="1" t="s">
        <v>44</v>
      </c>
      <c r="H934" s="1" t="n">
        <v>72</v>
      </c>
      <c r="I934" s="1" t="n">
        <v>6812.64</v>
      </c>
      <c r="J934" s="1" t="n">
        <v>300</v>
      </c>
    </row>
    <row r="935" customFormat="false" ht="15" hidden="false" customHeight="true" outlineLevel="0" collapsed="false">
      <c r="A935" s="1" t="s">
        <v>295</v>
      </c>
      <c r="B935" s="1" t="s">
        <v>53</v>
      </c>
      <c r="C935" s="1" t="s">
        <v>274</v>
      </c>
      <c r="D935" s="1" t="n">
        <v>8</v>
      </c>
      <c r="E935" s="1" t="n">
        <v>34</v>
      </c>
      <c r="F935" s="1" t="s">
        <v>45</v>
      </c>
      <c r="G935" s="1" t="s">
        <v>46</v>
      </c>
      <c r="H935" s="1" t="n">
        <v>15</v>
      </c>
      <c r="I935" s="1" t="n">
        <v>1483.5</v>
      </c>
      <c r="J935" s="1" t="n">
        <v>300</v>
      </c>
    </row>
    <row r="936" customFormat="false" ht="15" hidden="false" customHeight="true" outlineLevel="0" collapsed="false">
      <c r="A936" s="1" t="s">
        <v>295</v>
      </c>
      <c r="B936" s="1" t="s">
        <v>53</v>
      </c>
      <c r="C936" s="1" t="s">
        <v>274</v>
      </c>
      <c r="D936" s="1" t="n">
        <v>8</v>
      </c>
      <c r="E936" s="1" t="n">
        <v>34</v>
      </c>
      <c r="F936" s="1" t="s">
        <v>47</v>
      </c>
      <c r="G936" s="1" t="s">
        <v>48</v>
      </c>
      <c r="H936" s="1" t="n">
        <v>17</v>
      </c>
      <c r="I936" s="1" t="n">
        <v>1417.8</v>
      </c>
      <c r="J936" s="1" t="n">
        <v>300</v>
      </c>
    </row>
    <row r="937" customFormat="false" ht="15" hidden="false" customHeight="true" outlineLevel="0" collapsed="false">
      <c r="A937" s="1" t="s">
        <v>295</v>
      </c>
      <c r="B937" s="1" t="s">
        <v>53</v>
      </c>
      <c r="C937" s="1" t="s">
        <v>274</v>
      </c>
      <c r="D937" s="1" t="n">
        <v>8</v>
      </c>
      <c r="E937" s="1" t="n">
        <v>34</v>
      </c>
      <c r="F937" s="1" t="s">
        <v>49</v>
      </c>
      <c r="G937" s="1" t="s">
        <v>49</v>
      </c>
      <c r="H937" s="1" t="n">
        <v>18</v>
      </c>
      <c r="I937" s="1" t="n">
        <v>1408.5</v>
      </c>
      <c r="J937" s="1" t="n">
        <v>300</v>
      </c>
    </row>
    <row r="938" customFormat="false" ht="15" hidden="false" customHeight="true" outlineLevel="0" collapsed="false">
      <c r="A938" s="1" t="s">
        <v>296</v>
      </c>
      <c r="B938" s="1" t="s">
        <v>55</v>
      </c>
      <c r="C938" s="1" t="s">
        <v>274</v>
      </c>
      <c r="D938" s="1" t="n">
        <v>8</v>
      </c>
      <c r="E938" s="1" t="n">
        <v>34</v>
      </c>
      <c r="F938" s="1" t="s">
        <v>43</v>
      </c>
      <c r="G938" s="1" t="s">
        <v>44</v>
      </c>
      <c r="H938" s="1" t="n">
        <v>12</v>
      </c>
      <c r="I938" s="1" t="n">
        <v>1320.24</v>
      </c>
      <c r="J938" s="1" t="n">
        <v>300</v>
      </c>
    </row>
    <row r="939" customFormat="false" ht="15" hidden="false" customHeight="true" outlineLevel="0" collapsed="false">
      <c r="A939" s="1" t="s">
        <v>296</v>
      </c>
      <c r="B939" s="1" t="s">
        <v>55</v>
      </c>
      <c r="C939" s="1" t="s">
        <v>274</v>
      </c>
      <c r="D939" s="1" t="n">
        <v>8</v>
      </c>
      <c r="E939" s="1" t="n">
        <v>34</v>
      </c>
      <c r="F939" s="1" t="s">
        <v>45</v>
      </c>
      <c r="G939" s="1" t="s">
        <v>46</v>
      </c>
      <c r="H939" s="1" t="n">
        <v>42</v>
      </c>
      <c r="I939" s="1" t="n">
        <v>4216.38</v>
      </c>
      <c r="J939" s="1" t="n">
        <v>300</v>
      </c>
    </row>
    <row r="940" customFormat="false" ht="15" hidden="false" customHeight="true" outlineLevel="0" collapsed="false">
      <c r="A940" s="1" t="s">
        <v>296</v>
      </c>
      <c r="B940" s="1" t="s">
        <v>55</v>
      </c>
      <c r="C940" s="1" t="s">
        <v>274</v>
      </c>
      <c r="D940" s="1" t="n">
        <v>8</v>
      </c>
      <c r="E940" s="1" t="n">
        <v>34</v>
      </c>
      <c r="F940" s="1" t="s">
        <v>47</v>
      </c>
      <c r="G940" s="1" t="s">
        <v>48</v>
      </c>
      <c r="H940" s="1" t="n">
        <v>10</v>
      </c>
      <c r="I940" s="1" t="n">
        <v>844.4</v>
      </c>
      <c r="J940" s="1" t="n">
        <v>300</v>
      </c>
    </row>
    <row r="941" customFormat="false" ht="15" hidden="false" customHeight="true" outlineLevel="0" collapsed="false">
      <c r="A941" s="1" t="s">
        <v>296</v>
      </c>
      <c r="B941" s="1" t="s">
        <v>55</v>
      </c>
      <c r="C941" s="1" t="s">
        <v>274</v>
      </c>
      <c r="D941" s="1" t="n">
        <v>8</v>
      </c>
      <c r="E941" s="1" t="n">
        <v>34</v>
      </c>
      <c r="F941" s="1" t="s">
        <v>49</v>
      </c>
      <c r="G941" s="1" t="s">
        <v>49</v>
      </c>
      <c r="H941" s="1" t="n">
        <v>22</v>
      </c>
      <c r="I941" s="1" t="n">
        <v>1659.68</v>
      </c>
      <c r="J941" s="1" t="n">
        <v>300</v>
      </c>
    </row>
    <row r="942" customFormat="false" ht="15" hidden="false" customHeight="true" outlineLevel="0" collapsed="false">
      <c r="A942" s="1" t="s">
        <v>297</v>
      </c>
      <c r="B942" s="1" t="s">
        <v>57</v>
      </c>
      <c r="C942" s="1" t="s">
        <v>274</v>
      </c>
      <c r="D942" s="1" t="n">
        <v>8</v>
      </c>
      <c r="E942" s="1" t="n">
        <v>34</v>
      </c>
      <c r="F942" s="1" t="s">
        <v>43</v>
      </c>
      <c r="G942" s="1" t="s">
        <v>44</v>
      </c>
      <c r="H942" s="1" t="n">
        <v>13</v>
      </c>
      <c r="I942" s="1" t="n">
        <v>1498.9</v>
      </c>
      <c r="J942" s="1" t="n">
        <v>300</v>
      </c>
    </row>
    <row r="943" customFormat="false" ht="15" hidden="false" customHeight="true" outlineLevel="0" collapsed="false">
      <c r="A943" s="1" t="s">
        <v>297</v>
      </c>
      <c r="B943" s="1" t="s">
        <v>57</v>
      </c>
      <c r="C943" s="1" t="s">
        <v>274</v>
      </c>
      <c r="D943" s="1" t="n">
        <v>8</v>
      </c>
      <c r="E943" s="1" t="n">
        <v>34</v>
      </c>
      <c r="F943" s="1" t="s">
        <v>45</v>
      </c>
      <c r="G943" s="1" t="s">
        <v>46</v>
      </c>
      <c r="H943" s="1" t="n">
        <v>33</v>
      </c>
      <c r="I943" s="1" t="n">
        <v>2948.22</v>
      </c>
      <c r="J943" s="1" t="n">
        <v>300</v>
      </c>
    </row>
    <row r="944" customFormat="false" ht="15" hidden="false" customHeight="true" outlineLevel="0" collapsed="false">
      <c r="A944" s="1" t="s">
        <v>297</v>
      </c>
      <c r="B944" s="1" t="s">
        <v>57</v>
      </c>
      <c r="C944" s="1" t="s">
        <v>274</v>
      </c>
      <c r="D944" s="1" t="n">
        <v>8</v>
      </c>
      <c r="E944" s="1" t="n">
        <v>34</v>
      </c>
      <c r="F944" s="1" t="s">
        <v>47</v>
      </c>
      <c r="G944" s="1" t="s">
        <v>48</v>
      </c>
      <c r="H944" s="1" t="n">
        <v>10</v>
      </c>
      <c r="I944" s="1" t="n">
        <v>869.5</v>
      </c>
      <c r="J944" s="1" t="n">
        <v>300</v>
      </c>
    </row>
    <row r="945" customFormat="false" ht="15" hidden="false" customHeight="true" outlineLevel="0" collapsed="false">
      <c r="A945" s="1" t="s">
        <v>297</v>
      </c>
      <c r="B945" s="1" t="s">
        <v>57</v>
      </c>
      <c r="C945" s="1" t="s">
        <v>274</v>
      </c>
      <c r="D945" s="1" t="n">
        <v>8</v>
      </c>
      <c r="E945" s="1" t="n">
        <v>34</v>
      </c>
      <c r="F945" s="1" t="s">
        <v>49</v>
      </c>
      <c r="G945" s="1" t="s">
        <v>49</v>
      </c>
      <c r="H945" s="1" t="n">
        <v>24</v>
      </c>
      <c r="I945" s="1" t="n">
        <v>1950.96</v>
      </c>
      <c r="J945" s="1" t="n">
        <v>300</v>
      </c>
    </row>
    <row r="946" customFormat="false" ht="15" hidden="false" customHeight="true" outlineLevel="0" collapsed="false">
      <c r="A946" s="1" t="s">
        <v>298</v>
      </c>
      <c r="B946" s="1" t="s">
        <v>59</v>
      </c>
      <c r="C946" s="1" t="s">
        <v>274</v>
      </c>
      <c r="D946" s="1" t="n">
        <v>8</v>
      </c>
      <c r="E946" s="1" t="n">
        <v>35</v>
      </c>
      <c r="F946" s="1" t="s">
        <v>43</v>
      </c>
      <c r="G946" s="1" t="s">
        <v>44</v>
      </c>
      <c r="H946" s="1" t="n">
        <v>62</v>
      </c>
      <c r="I946" s="1" t="n">
        <v>6511.24</v>
      </c>
      <c r="J946" s="1" t="n">
        <v>300</v>
      </c>
    </row>
    <row r="947" customFormat="false" ht="15" hidden="false" customHeight="true" outlineLevel="0" collapsed="false">
      <c r="A947" s="1" t="s">
        <v>298</v>
      </c>
      <c r="B947" s="1" t="s">
        <v>59</v>
      </c>
      <c r="C947" s="1" t="s">
        <v>274</v>
      </c>
      <c r="D947" s="1" t="n">
        <v>8</v>
      </c>
      <c r="E947" s="1" t="n">
        <v>35</v>
      </c>
      <c r="F947" s="1" t="s">
        <v>45</v>
      </c>
      <c r="G947" s="1" t="s">
        <v>46</v>
      </c>
      <c r="H947" s="1" t="n">
        <v>14</v>
      </c>
      <c r="I947" s="1" t="n">
        <v>1297.38</v>
      </c>
      <c r="J947" s="1" t="n">
        <v>300</v>
      </c>
    </row>
    <row r="948" customFormat="false" ht="15" hidden="false" customHeight="true" outlineLevel="0" collapsed="false">
      <c r="A948" s="1" t="s">
        <v>298</v>
      </c>
      <c r="B948" s="1" t="s">
        <v>59</v>
      </c>
      <c r="C948" s="1" t="s">
        <v>274</v>
      </c>
      <c r="D948" s="1" t="n">
        <v>8</v>
      </c>
      <c r="E948" s="1" t="n">
        <v>35</v>
      </c>
      <c r="F948" s="1" t="s">
        <v>47</v>
      </c>
      <c r="G948" s="1" t="s">
        <v>48</v>
      </c>
      <c r="H948" s="1" t="n">
        <v>18</v>
      </c>
      <c r="I948" s="1" t="n">
        <v>1529.1</v>
      </c>
      <c r="J948" s="1" t="n">
        <v>300</v>
      </c>
    </row>
    <row r="949" customFormat="false" ht="15" hidden="false" customHeight="true" outlineLevel="0" collapsed="false">
      <c r="A949" s="1" t="s">
        <v>298</v>
      </c>
      <c r="B949" s="1" t="s">
        <v>59</v>
      </c>
      <c r="C949" s="1" t="s">
        <v>274</v>
      </c>
      <c r="D949" s="1" t="n">
        <v>8</v>
      </c>
      <c r="E949" s="1" t="n">
        <v>35</v>
      </c>
      <c r="F949" s="1" t="s">
        <v>49</v>
      </c>
      <c r="G949" s="1" t="s">
        <v>49</v>
      </c>
      <c r="H949" s="1" t="n">
        <v>20</v>
      </c>
      <c r="I949" s="1" t="n">
        <v>1550.4</v>
      </c>
      <c r="J949" s="1" t="n">
        <v>300</v>
      </c>
    </row>
    <row r="950" customFormat="false" ht="15" hidden="false" customHeight="true" outlineLevel="0" collapsed="false">
      <c r="A950" s="1" t="s">
        <v>299</v>
      </c>
      <c r="B950" s="1" t="s">
        <v>61</v>
      </c>
      <c r="C950" s="1" t="s">
        <v>274</v>
      </c>
      <c r="D950" s="1" t="n">
        <v>8</v>
      </c>
      <c r="E950" s="1" t="n">
        <v>35</v>
      </c>
      <c r="F950" s="1" t="s">
        <v>43</v>
      </c>
      <c r="G950" s="1" t="s">
        <v>44</v>
      </c>
      <c r="H950" s="1" t="n">
        <v>63</v>
      </c>
      <c r="I950" s="1" t="n">
        <v>7256.97</v>
      </c>
      <c r="J950" s="1" t="n">
        <v>300</v>
      </c>
    </row>
    <row r="951" customFormat="false" ht="15" hidden="false" customHeight="true" outlineLevel="0" collapsed="false">
      <c r="A951" s="1" t="s">
        <v>299</v>
      </c>
      <c r="B951" s="1" t="s">
        <v>61</v>
      </c>
      <c r="C951" s="1" t="s">
        <v>274</v>
      </c>
      <c r="D951" s="1" t="n">
        <v>8</v>
      </c>
      <c r="E951" s="1" t="n">
        <v>35</v>
      </c>
      <c r="F951" s="1" t="s">
        <v>45</v>
      </c>
      <c r="G951" s="1" t="s">
        <v>46</v>
      </c>
      <c r="H951" s="1" t="n">
        <v>14</v>
      </c>
      <c r="I951" s="1" t="n">
        <v>1273.86</v>
      </c>
      <c r="J951" s="1" t="n">
        <v>300</v>
      </c>
    </row>
    <row r="952" customFormat="false" ht="15" hidden="false" customHeight="true" outlineLevel="0" collapsed="false">
      <c r="A952" s="1" t="s">
        <v>299</v>
      </c>
      <c r="B952" s="1" t="s">
        <v>61</v>
      </c>
      <c r="C952" s="1" t="s">
        <v>274</v>
      </c>
      <c r="D952" s="1" t="n">
        <v>8</v>
      </c>
      <c r="E952" s="1" t="n">
        <v>35</v>
      </c>
      <c r="F952" s="1" t="s">
        <v>47</v>
      </c>
      <c r="G952" s="1" t="s">
        <v>48</v>
      </c>
      <c r="H952" s="1" t="n">
        <v>20</v>
      </c>
      <c r="I952" s="1" t="n">
        <v>1676</v>
      </c>
      <c r="J952" s="1" t="n">
        <v>300</v>
      </c>
    </row>
    <row r="953" customFormat="false" ht="15" hidden="false" customHeight="true" outlineLevel="0" collapsed="false">
      <c r="A953" s="1" t="s">
        <v>299</v>
      </c>
      <c r="B953" s="1" t="s">
        <v>61</v>
      </c>
      <c r="C953" s="1" t="s">
        <v>274</v>
      </c>
      <c r="D953" s="1" t="n">
        <v>8</v>
      </c>
      <c r="E953" s="1" t="n">
        <v>35</v>
      </c>
      <c r="F953" s="1" t="s">
        <v>49</v>
      </c>
      <c r="G953" s="1" t="s">
        <v>49</v>
      </c>
      <c r="H953" s="1" t="n">
        <v>23</v>
      </c>
      <c r="I953" s="1" t="n">
        <v>1863.69</v>
      </c>
      <c r="J953" s="1" t="n">
        <v>300</v>
      </c>
    </row>
    <row r="954" customFormat="false" ht="15" hidden="false" customHeight="true" outlineLevel="0" collapsed="false">
      <c r="A954" s="1" t="s">
        <v>300</v>
      </c>
      <c r="B954" s="1" t="s">
        <v>41</v>
      </c>
      <c r="C954" s="1" t="s">
        <v>274</v>
      </c>
      <c r="D954" s="1" t="n">
        <v>8</v>
      </c>
      <c r="E954" s="1" t="n">
        <v>35</v>
      </c>
      <c r="F954" s="1" t="s">
        <v>43</v>
      </c>
      <c r="G954" s="1" t="s">
        <v>44</v>
      </c>
      <c r="H954" s="1" t="n">
        <v>64</v>
      </c>
      <c r="I954" s="1" t="n">
        <v>6907.52</v>
      </c>
      <c r="J954" s="1" t="n">
        <v>300</v>
      </c>
    </row>
    <row r="955" customFormat="false" ht="15" hidden="false" customHeight="true" outlineLevel="0" collapsed="false">
      <c r="A955" s="1" t="s">
        <v>300</v>
      </c>
      <c r="B955" s="1" t="s">
        <v>41</v>
      </c>
      <c r="C955" s="1" t="s">
        <v>274</v>
      </c>
      <c r="D955" s="1" t="n">
        <v>8</v>
      </c>
      <c r="E955" s="1" t="n">
        <v>35</v>
      </c>
      <c r="F955" s="1" t="s">
        <v>45</v>
      </c>
      <c r="G955" s="1" t="s">
        <v>46</v>
      </c>
      <c r="H955" s="1" t="n">
        <v>12</v>
      </c>
      <c r="I955" s="1" t="n">
        <v>1036.44</v>
      </c>
      <c r="J955" s="1" t="n">
        <v>300</v>
      </c>
    </row>
    <row r="956" customFormat="false" ht="15" hidden="false" customHeight="true" outlineLevel="0" collapsed="false">
      <c r="A956" s="1" t="s">
        <v>300</v>
      </c>
      <c r="B956" s="1" t="s">
        <v>41</v>
      </c>
      <c r="C956" s="1" t="s">
        <v>274</v>
      </c>
      <c r="D956" s="1" t="n">
        <v>8</v>
      </c>
      <c r="E956" s="1" t="n">
        <v>35</v>
      </c>
      <c r="F956" s="1" t="s">
        <v>47</v>
      </c>
      <c r="G956" s="1" t="s">
        <v>48</v>
      </c>
      <c r="H956" s="1" t="n">
        <v>17</v>
      </c>
      <c r="I956" s="1" t="n">
        <v>1466.08</v>
      </c>
      <c r="J956" s="1" t="n">
        <v>300</v>
      </c>
    </row>
    <row r="957" customFormat="false" ht="15" hidden="false" customHeight="true" outlineLevel="0" collapsed="false">
      <c r="A957" s="1" t="s">
        <v>300</v>
      </c>
      <c r="B957" s="1" t="s">
        <v>41</v>
      </c>
      <c r="C957" s="1" t="s">
        <v>274</v>
      </c>
      <c r="D957" s="1" t="n">
        <v>8</v>
      </c>
      <c r="E957" s="1" t="n">
        <v>35</v>
      </c>
      <c r="F957" s="1" t="s">
        <v>49</v>
      </c>
      <c r="G957" s="1" t="s">
        <v>49</v>
      </c>
      <c r="H957" s="1" t="n">
        <v>24</v>
      </c>
      <c r="I957" s="1" t="n">
        <v>2157.36</v>
      </c>
      <c r="J957" s="1" t="n">
        <v>300</v>
      </c>
    </row>
    <row r="958" customFormat="false" ht="15" hidden="false" customHeight="true" outlineLevel="0" collapsed="false">
      <c r="A958" s="1" t="s">
        <v>301</v>
      </c>
      <c r="B958" s="1" t="s">
        <v>51</v>
      </c>
      <c r="C958" s="1" t="s">
        <v>274</v>
      </c>
      <c r="D958" s="1" t="n">
        <v>8</v>
      </c>
      <c r="E958" s="1" t="n">
        <v>35</v>
      </c>
      <c r="F958" s="1" t="s">
        <v>43</v>
      </c>
      <c r="G958" s="1" t="s">
        <v>44</v>
      </c>
      <c r="H958" s="1" t="n">
        <v>68</v>
      </c>
      <c r="I958" s="1" t="n">
        <v>7362.36</v>
      </c>
      <c r="J958" s="1" t="n">
        <v>300</v>
      </c>
    </row>
    <row r="959" customFormat="false" ht="15" hidden="false" customHeight="true" outlineLevel="0" collapsed="false">
      <c r="A959" s="1" t="s">
        <v>301</v>
      </c>
      <c r="B959" s="1" t="s">
        <v>51</v>
      </c>
      <c r="C959" s="1" t="s">
        <v>274</v>
      </c>
      <c r="D959" s="1" t="n">
        <v>8</v>
      </c>
      <c r="E959" s="1" t="n">
        <v>35</v>
      </c>
      <c r="F959" s="1" t="s">
        <v>45</v>
      </c>
      <c r="G959" s="1" t="s">
        <v>46</v>
      </c>
      <c r="H959" s="1" t="n">
        <v>11</v>
      </c>
      <c r="I959" s="1" t="n">
        <v>985.82</v>
      </c>
      <c r="J959" s="1" t="n">
        <v>300</v>
      </c>
    </row>
    <row r="960" customFormat="false" ht="15" hidden="false" customHeight="true" outlineLevel="0" collapsed="false">
      <c r="A960" s="1" t="s">
        <v>301</v>
      </c>
      <c r="B960" s="1" t="s">
        <v>51</v>
      </c>
      <c r="C960" s="1" t="s">
        <v>274</v>
      </c>
      <c r="D960" s="1" t="n">
        <v>8</v>
      </c>
      <c r="E960" s="1" t="n">
        <v>35</v>
      </c>
      <c r="F960" s="1" t="s">
        <v>47</v>
      </c>
      <c r="G960" s="1" t="s">
        <v>48</v>
      </c>
      <c r="H960" s="1" t="n">
        <v>18</v>
      </c>
      <c r="I960" s="1" t="n">
        <v>1481.94</v>
      </c>
      <c r="J960" s="1" t="n">
        <v>300</v>
      </c>
    </row>
    <row r="961" customFormat="false" ht="15" hidden="false" customHeight="true" outlineLevel="0" collapsed="false">
      <c r="A961" s="1" t="s">
        <v>301</v>
      </c>
      <c r="B961" s="1" t="s">
        <v>51</v>
      </c>
      <c r="C961" s="1" t="s">
        <v>274</v>
      </c>
      <c r="D961" s="1" t="n">
        <v>8</v>
      </c>
      <c r="E961" s="1" t="n">
        <v>35</v>
      </c>
      <c r="F961" s="1" t="s">
        <v>49</v>
      </c>
      <c r="G961" s="1" t="s">
        <v>49</v>
      </c>
      <c r="H961" s="1" t="n">
        <v>20</v>
      </c>
      <c r="I961" s="1" t="n">
        <v>1540.6</v>
      </c>
      <c r="J961" s="1" t="n">
        <v>300</v>
      </c>
    </row>
    <row r="962" customFormat="false" ht="15" hidden="false" customHeight="true" outlineLevel="0" collapsed="false">
      <c r="A962" s="1" t="s">
        <v>302</v>
      </c>
      <c r="B962" s="1" t="s">
        <v>53</v>
      </c>
      <c r="C962" s="1" t="s">
        <v>274</v>
      </c>
      <c r="D962" s="1" t="n">
        <v>8</v>
      </c>
      <c r="E962" s="1" t="n">
        <v>35</v>
      </c>
      <c r="F962" s="1" t="s">
        <v>43</v>
      </c>
      <c r="G962" s="1" t="s">
        <v>44</v>
      </c>
      <c r="H962" s="1" t="n">
        <v>53</v>
      </c>
      <c r="I962" s="1" t="n">
        <v>5820.46</v>
      </c>
      <c r="J962" s="1" t="n">
        <v>300</v>
      </c>
    </row>
    <row r="963" customFormat="false" ht="15" hidden="false" customHeight="true" outlineLevel="0" collapsed="false">
      <c r="A963" s="1" t="s">
        <v>302</v>
      </c>
      <c r="B963" s="1" t="s">
        <v>53</v>
      </c>
      <c r="C963" s="1" t="s">
        <v>274</v>
      </c>
      <c r="D963" s="1" t="n">
        <v>8</v>
      </c>
      <c r="E963" s="1" t="n">
        <v>35</v>
      </c>
      <c r="F963" s="1" t="s">
        <v>45</v>
      </c>
      <c r="G963" s="1" t="s">
        <v>46</v>
      </c>
      <c r="H963" s="1" t="n">
        <v>12</v>
      </c>
      <c r="I963" s="1" t="n">
        <v>1127.64</v>
      </c>
      <c r="J963" s="1" t="n">
        <v>300</v>
      </c>
    </row>
    <row r="964" customFormat="false" ht="15" hidden="false" customHeight="true" outlineLevel="0" collapsed="false">
      <c r="A964" s="1" t="s">
        <v>302</v>
      </c>
      <c r="B964" s="1" t="s">
        <v>53</v>
      </c>
      <c r="C964" s="1" t="s">
        <v>274</v>
      </c>
      <c r="D964" s="1" t="n">
        <v>8</v>
      </c>
      <c r="E964" s="1" t="n">
        <v>35</v>
      </c>
      <c r="F964" s="1" t="s">
        <v>47</v>
      </c>
      <c r="G964" s="1" t="s">
        <v>48</v>
      </c>
      <c r="H964" s="1" t="n">
        <v>23</v>
      </c>
      <c r="I964" s="1" t="n">
        <v>1858.17</v>
      </c>
      <c r="J964" s="1" t="n">
        <v>300</v>
      </c>
    </row>
    <row r="965" customFormat="false" ht="15" hidden="false" customHeight="true" outlineLevel="0" collapsed="false">
      <c r="A965" s="1" t="s">
        <v>302</v>
      </c>
      <c r="B965" s="1" t="s">
        <v>53</v>
      </c>
      <c r="C965" s="1" t="s">
        <v>274</v>
      </c>
      <c r="D965" s="1" t="n">
        <v>8</v>
      </c>
      <c r="E965" s="1" t="n">
        <v>35</v>
      </c>
      <c r="F965" s="1" t="s">
        <v>49</v>
      </c>
      <c r="G965" s="1" t="s">
        <v>49</v>
      </c>
      <c r="H965" s="1" t="n">
        <v>16</v>
      </c>
      <c r="I965" s="1" t="n">
        <v>1246.72</v>
      </c>
      <c r="J965" s="1" t="n">
        <v>300</v>
      </c>
    </row>
    <row r="966" customFormat="false" ht="15" hidden="false" customHeight="true" outlineLevel="0" collapsed="false">
      <c r="A966" s="1" t="s">
        <v>303</v>
      </c>
      <c r="B966" s="1" t="s">
        <v>55</v>
      </c>
      <c r="C966" s="1" t="s">
        <v>274</v>
      </c>
      <c r="D966" s="1" t="n">
        <v>8</v>
      </c>
      <c r="E966" s="1" t="n">
        <v>35</v>
      </c>
      <c r="F966" s="1" t="s">
        <v>43</v>
      </c>
      <c r="G966" s="1" t="s">
        <v>44</v>
      </c>
      <c r="H966" s="1" t="n">
        <v>13</v>
      </c>
      <c r="I966" s="1" t="n">
        <v>1526.98</v>
      </c>
      <c r="J966" s="1" t="n">
        <v>300</v>
      </c>
    </row>
    <row r="967" customFormat="false" ht="15" hidden="false" customHeight="true" outlineLevel="0" collapsed="false">
      <c r="A967" s="1" t="s">
        <v>303</v>
      </c>
      <c r="B967" s="1" t="s">
        <v>55</v>
      </c>
      <c r="C967" s="1" t="s">
        <v>274</v>
      </c>
      <c r="D967" s="1" t="n">
        <v>8</v>
      </c>
      <c r="E967" s="1" t="n">
        <v>35</v>
      </c>
      <c r="F967" s="1" t="s">
        <v>45</v>
      </c>
      <c r="G967" s="1" t="s">
        <v>46</v>
      </c>
      <c r="H967" s="1" t="n">
        <v>33</v>
      </c>
      <c r="I967" s="1" t="n">
        <v>3148.2</v>
      </c>
      <c r="J967" s="1" t="n">
        <v>300</v>
      </c>
    </row>
    <row r="968" customFormat="false" ht="15" hidden="false" customHeight="true" outlineLevel="0" collapsed="false">
      <c r="A968" s="1" t="s">
        <v>303</v>
      </c>
      <c r="B968" s="1" t="s">
        <v>55</v>
      </c>
      <c r="C968" s="1" t="s">
        <v>274</v>
      </c>
      <c r="D968" s="1" t="n">
        <v>8</v>
      </c>
      <c r="E968" s="1" t="n">
        <v>35</v>
      </c>
      <c r="F968" s="1" t="s">
        <v>47</v>
      </c>
      <c r="G968" s="1" t="s">
        <v>48</v>
      </c>
      <c r="H968" s="1" t="n">
        <v>10</v>
      </c>
      <c r="I968" s="1" t="n">
        <v>849.7</v>
      </c>
      <c r="J968" s="1" t="n">
        <v>300</v>
      </c>
    </row>
    <row r="969" customFormat="false" ht="15" hidden="false" customHeight="true" outlineLevel="0" collapsed="false">
      <c r="A969" s="1" t="s">
        <v>303</v>
      </c>
      <c r="B969" s="1" t="s">
        <v>55</v>
      </c>
      <c r="C969" s="1" t="s">
        <v>274</v>
      </c>
      <c r="D969" s="1" t="n">
        <v>8</v>
      </c>
      <c r="E969" s="1" t="n">
        <v>35</v>
      </c>
      <c r="F969" s="1" t="s">
        <v>49</v>
      </c>
      <c r="G969" s="1" t="s">
        <v>49</v>
      </c>
      <c r="H969" s="1" t="n">
        <v>32</v>
      </c>
      <c r="I969" s="1" t="n">
        <v>2308.16</v>
      </c>
      <c r="J969" s="1" t="n">
        <v>300</v>
      </c>
    </row>
    <row r="970" customFormat="false" ht="15" hidden="false" customHeight="true" outlineLevel="0" collapsed="false">
      <c r="A970" s="1" t="s">
        <v>304</v>
      </c>
      <c r="B970" s="1" t="s">
        <v>57</v>
      </c>
      <c r="C970" s="1" t="s">
        <v>274</v>
      </c>
      <c r="D970" s="1" t="n">
        <v>8</v>
      </c>
      <c r="E970" s="1" t="n">
        <v>35</v>
      </c>
      <c r="F970" s="1" t="s">
        <v>43</v>
      </c>
      <c r="G970" s="1" t="s">
        <v>44</v>
      </c>
      <c r="H970" s="1" t="n">
        <v>13</v>
      </c>
      <c r="I970" s="1" t="n">
        <v>1404.78</v>
      </c>
      <c r="J970" s="1" t="n">
        <v>300</v>
      </c>
    </row>
    <row r="971" customFormat="false" ht="15" hidden="false" customHeight="true" outlineLevel="0" collapsed="false">
      <c r="A971" s="1" t="s">
        <v>304</v>
      </c>
      <c r="B971" s="1" t="s">
        <v>57</v>
      </c>
      <c r="C971" s="1" t="s">
        <v>274</v>
      </c>
      <c r="D971" s="1" t="n">
        <v>8</v>
      </c>
      <c r="E971" s="1" t="n">
        <v>35</v>
      </c>
      <c r="F971" s="1" t="s">
        <v>45</v>
      </c>
      <c r="G971" s="1" t="s">
        <v>46</v>
      </c>
      <c r="H971" s="1" t="n">
        <v>41</v>
      </c>
      <c r="I971" s="1" t="n">
        <v>3820.38</v>
      </c>
      <c r="J971" s="1" t="n">
        <v>300</v>
      </c>
    </row>
    <row r="972" customFormat="false" ht="15" hidden="false" customHeight="true" outlineLevel="0" collapsed="false">
      <c r="A972" s="1" t="s">
        <v>304</v>
      </c>
      <c r="B972" s="1" t="s">
        <v>57</v>
      </c>
      <c r="C972" s="1" t="s">
        <v>274</v>
      </c>
      <c r="D972" s="1" t="n">
        <v>8</v>
      </c>
      <c r="E972" s="1" t="n">
        <v>35</v>
      </c>
      <c r="F972" s="1" t="s">
        <v>47</v>
      </c>
      <c r="G972" s="1" t="s">
        <v>48</v>
      </c>
      <c r="H972" s="1" t="n">
        <v>10</v>
      </c>
      <c r="I972" s="1" t="n">
        <v>835</v>
      </c>
      <c r="J972" s="1" t="n">
        <v>300</v>
      </c>
    </row>
    <row r="973" customFormat="false" ht="15" hidden="false" customHeight="true" outlineLevel="0" collapsed="false">
      <c r="A973" s="1" t="s">
        <v>304</v>
      </c>
      <c r="B973" s="1" t="s">
        <v>57</v>
      </c>
      <c r="C973" s="1" t="s">
        <v>274</v>
      </c>
      <c r="D973" s="1" t="n">
        <v>8</v>
      </c>
      <c r="E973" s="1" t="n">
        <v>35</v>
      </c>
      <c r="F973" s="1" t="s">
        <v>49</v>
      </c>
      <c r="G973" s="1" t="s">
        <v>49</v>
      </c>
      <c r="H973" s="1" t="n">
        <v>26</v>
      </c>
      <c r="I973" s="1" t="n">
        <v>2018.64</v>
      </c>
      <c r="J973" s="1" t="n">
        <v>300</v>
      </c>
    </row>
    <row r="974" customFormat="false" ht="15" hidden="false" customHeight="true" outlineLevel="0" collapsed="false">
      <c r="A974" s="1" t="s">
        <v>305</v>
      </c>
      <c r="B974" s="1" t="s">
        <v>59</v>
      </c>
      <c r="C974" s="1" t="s">
        <v>306</v>
      </c>
      <c r="D974" s="1" t="n">
        <v>9</v>
      </c>
      <c r="E974" s="1" t="n">
        <v>36</v>
      </c>
      <c r="F974" s="1" t="s">
        <v>43</v>
      </c>
      <c r="G974" s="1" t="s">
        <v>44</v>
      </c>
      <c r="H974" s="1" t="n">
        <v>110</v>
      </c>
      <c r="I974" s="1" t="n">
        <v>13060.3</v>
      </c>
      <c r="J974" s="1" t="n">
        <v>300</v>
      </c>
    </row>
    <row r="975" customFormat="false" ht="15" hidden="false" customHeight="true" outlineLevel="0" collapsed="false">
      <c r="A975" s="1" t="s">
        <v>305</v>
      </c>
      <c r="B975" s="1" t="s">
        <v>59</v>
      </c>
      <c r="C975" s="1" t="s">
        <v>306</v>
      </c>
      <c r="D975" s="1" t="n">
        <v>9</v>
      </c>
      <c r="E975" s="1" t="n">
        <v>36</v>
      </c>
      <c r="F975" s="1" t="s">
        <v>45</v>
      </c>
      <c r="G975" s="1" t="s">
        <v>46</v>
      </c>
      <c r="H975" s="1" t="n">
        <v>23</v>
      </c>
      <c r="I975" s="1" t="n">
        <v>2457.09</v>
      </c>
      <c r="J975" s="1" t="n">
        <v>300</v>
      </c>
    </row>
    <row r="976" customFormat="false" ht="15" hidden="false" customHeight="true" outlineLevel="0" collapsed="false">
      <c r="A976" s="1" t="s">
        <v>305</v>
      </c>
      <c r="B976" s="1" t="s">
        <v>59</v>
      </c>
      <c r="C976" s="1" t="s">
        <v>306</v>
      </c>
      <c r="D976" s="1" t="n">
        <v>9</v>
      </c>
      <c r="E976" s="1" t="n">
        <v>36</v>
      </c>
      <c r="F976" s="1" t="s">
        <v>47</v>
      </c>
      <c r="G976" s="1" t="s">
        <v>48</v>
      </c>
      <c r="H976" s="1" t="n">
        <v>34</v>
      </c>
      <c r="I976" s="1" t="n">
        <v>3348.32</v>
      </c>
      <c r="J976" s="1" t="n">
        <v>300</v>
      </c>
    </row>
    <row r="977" customFormat="false" ht="15" hidden="false" customHeight="true" outlineLevel="0" collapsed="false">
      <c r="A977" s="1" t="s">
        <v>305</v>
      </c>
      <c r="B977" s="1" t="s">
        <v>59</v>
      </c>
      <c r="C977" s="1" t="s">
        <v>306</v>
      </c>
      <c r="D977" s="1" t="n">
        <v>9</v>
      </c>
      <c r="E977" s="1" t="n">
        <v>36</v>
      </c>
      <c r="F977" s="1" t="s">
        <v>49</v>
      </c>
      <c r="G977" s="1" t="s">
        <v>49</v>
      </c>
      <c r="H977" s="1" t="n">
        <v>28</v>
      </c>
      <c r="I977" s="1" t="n">
        <v>2758.56</v>
      </c>
      <c r="J977" s="1" t="n">
        <v>300</v>
      </c>
    </row>
    <row r="978" customFormat="false" ht="15" hidden="false" customHeight="true" outlineLevel="0" collapsed="false">
      <c r="A978" s="1" t="s">
        <v>307</v>
      </c>
      <c r="B978" s="1" t="s">
        <v>61</v>
      </c>
      <c r="C978" s="1" t="s">
        <v>306</v>
      </c>
      <c r="D978" s="1" t="n">
        <v>9</v>
      </c>
      <c r="E978" s="1" t="n">
        <v>36</v>
      </c>
      <c r="F978" s="1" t="s">
        <v>43</v>
      </c>
      <c r="G978" s="1" t="s">
        <v>44</v>
      </c>
      <c r="H978" s="1" t="n">
        <v>96</v>
      </c>
      <c r="I978" s="1" t="n">
        <v>11199.36</v>
      </c>
      <c r="J978" s="1" t="n">
        <v>300</v>
      </c>
    </row>
    <row r="979" customFormat="false" ht="15" hidden="false" customHeight="true" outlineLevel="0" collapsed="false">
      <c r="A979" s="1" t="s">
        <v>307</v>
      </c>
      <c r="B979" s="1" t="s">
        <v>61</v>
      </c>
      <c r="C979" s="1" t="s">
        <v>306</v>
      </c>
      <c r="D979" s="1" t="n">
        <v>9</v>
      </c>
      <c r="E979" s="1" t="n">
        <v>36</v>
      </c>
      <c r="F979" s="1" t="s">
        <v>45</v>
      </c>
      <c r="G979" s="1" t="s">
        <v>46</v>
      </c>
      <c r="H979" s="1" t="n">
        <v>21</v>
      </c>
      <c r="I979" s="1" t="n">
        <v>2432.64</v>
      </c>
      <c r="J979" s="1" t="n">
        <v>300</v>
      </c>
    </row>
    <row r="980" customFormat="false" ht="15" hidden="false" customHeight="true" outlineLevel="0" collapsed="false">
      <c r="A980" s="1" t="s">
        <v>307</v>
      </c>
      <c r="B980" s="1" t="s">
        <v>61</v>
      </c>
      <c r="C980" s="1" t="s">
        <v>306</v>
      </c>
      <c r="D980" s="1" t="n">
        <v>9</v>
      </c>
      <c r="E980" s="1" t="n">
        <v>36</v>
      </c>
      <c r="F980" s="1" t="s">
        <v>47</v>
      </c>
      <c r="G980" s="1" t="s">
        <v>48</v>
      </c>
      <c r="H980" s="1" t="n">
        <v>25</v>
      </c>
      <c r="I980" s="1" t="n">
        <v>2934.5</v>
      </c>
      <c r="J980" s="1" t="n">
        <v>300</v>
      </c>
    </row>
    <row r="981" customFormat="false" ht="15" hidden="false" customHeight="true" outlineLevel="0" collapsed="false">
      <c r="A981" s="1" t="s">
        <v>307</v>
      </c>
      <c r="B981" s="1" t="s">
        <v>61</v>
      </c>
      <c r="C981" s="1" t="s">
        <v>306</v>
      </c>
      <c r="D981" s="1" t="n">
        <v>9</v>
      </c>
      <c r="E981" s="1" t="n">
        <v>36</v>
      </c>
      <c r="F981" s="1" t="s">
        <v>49</v>
      </c>
      <c r="G981" s="1" t="s">
        <v>49</v>
      </c>
      <c r="H981" s="1" t="n">
        <v>36</v>
      </c>
      <c r="I981" s="1" t="n">
        <v>3341.16</v>
      </c>
      <c r="J981" s="1" t="n">
        <v>300</v>
      </c>
    </row>
    <row r="982" customFormat="false" ht="15" hidden="false" customHeight="true" outlineLevel="0" collapsed="false">
      <c r="A982" s="1" t="s">
        <v>308</v>
      </c>
      <c r="B982" s="1" t="s">
        <v>41</v>
      </c>
      <c r="C982" s="1" t="s">
        <v>306</v>
      </c>
      <c r="D982" s="1" t="n">
        <v>9</v>
      </c>
      <c r="E982" s="1" t="n">
        <v>36</v>
      </c>
      <c r="F982" s="1" t="s">
        <v>43</v>
      </c>
      <c r="G982" s="1" t="s">
        <v>44</v>
      </c>
      <c r="H982" s="1" t="n">
        <v>104</v>
      </c>
      <c r="I982" s="1" t="n">
        <v>12844</v>
      </c>
      <c r="J982" s="1" t="n">
        <v>300</v>
      </c>
    </row>
    <row r="983" customFormat="false" ht="15" hidden="false" customHeight="true" outlineLevel="0" collapsed="false">
      <c r="A983" s="1" t="s">
        <v>308</v>
      </c>
      <c r="B983" s="1" t="s">
        <v>41</v>
      </c>
      <c r="C983" s="1" t="s">
        <v>306</v>
      </c>
      <c r="D983" s="1" t="n">
        <v>9</v>
      </c>
      <c r="E983" s="1" t="n">
        <v>36</v>
      </c>
      <c r="F983" s="1" t="s">
        <v>45</v>
      </c>
      <c r="G983" s="1" t="s">
        <v>46</v>
      </c>
      <c r="H983" s="1" t="n">
        <v>23</v>
      </c>
      <c r="I983" s="1" t="n">
        <v>2556.68</v>
      </c>
      <c r="J983" s="1" t="n">
        <v>300</v>
      </c>
    </row>
    <row r="984" customFormat="false" ht="15" hidden="false" customHeight="true" outlineLevel="0" collapsed="false">
      <c r="A984" s="1" t="s">
        <v>308</v>
      </c>
      <c r="B984" s="1" t="s">
        <v>41</v>
      </c>
      <c r="C984" s="1" t="s">
        <v>306</v>
      </c>
      <c r="D984" s="1" t="n">
        <v>9</v>
      </c>
      <c r="E984" s="1" t="n">
        <v>36</v>
      </c>
      <c r="F984" s="1" t="s">
        <v>47</v>
      </c>
      <c r="G984" s="1" t="s">
        <v>48</v>
      </c>
      <c r="H984" s="1" t="n">
        <v>32</v>
      </c>
      <c r="I984" s="1" t="n">
        <v>3178.24</v>
      </c>
      <c r="J984" s="1" t="n">
        <v>300</v>
      </c>
    </row>
    <row r="985" customFormat="false" ht="15" hidden="false" customHeight="true" outlineLevel="0" collapsed="false">
      <c r="A985" s="1" t="s">
        <v>308</v>
      </c>
      <c r="B985" s="1" t="s">
        <v>41</v>
      </c>
      <c r="C985" s="1" t="s">
        <v>306</v>
      </c>
      <c r="D985" s="1" t="n">
        <v>9</v>
      </c>
      <c r="E985" s="1" t="n">
        <v>36</v>
      </c>
      <c r="F985" s="1" t="s">
        <v>49</v>
      </c>
      <c r="G985" s="1" t="s">
        <v>49</v>
      </c>
      <c r="H985" s="1" t="n">
        <v>32</v>
      </c>
      <c r="I985" s="1" t="n">
        <v>2904</v>
      </c>
      <c r="J985" s="1" t="n">
        <v>300</v>
      </c>
    </row>
    <row r="986" customFormat="false" ht="15" hidden="false" customHeight="true" outlineLevel="0" collapsed="false">
      <c r="A986" s="1" t="s">
        <v>309</v>
      </c>
      <c r="B986" s="1" t="s">
        <v>51</v>
      </c>
      <c r="C986" s="1" t="s">
        <v>306</v>
      </c>
      <c r="D986" s="1" t="n">
        <v>9</v>
      </c>
      <c r="E986" s="1" t="n">
        <v>36</v>
      </c>
      <c r="F986" s="1" t="s">
        <v>43</v>
      </c>
      <c r="G986" s="1" t="s">
        <v>44</v>
      </c>
      <c r="H986" s="1" t="n">
        <v>103</v>
      </c>
      <c r="I986" s="1" t="n">
        <v>13357.04</v>
      </c>
      <c r="J986" s="1" t="n">
        <v>300</v>
      </c>
    </row>
    <row r="987" customFormat="false" ht="15" hidden="false" customHeight="true" outlineLevel="0" collapsed="false">
      <c r="A987" s="1" t="s">
        <v>309</v>
      </c>
      <c r="B987" s="1" t="s">
        <v>51</v>
      </c>
      <c r="C987" s="1" t="s">
        <v>306</v>
      </c>
      <c r="D987" s="1" t="n">
        <v>9</v>
      </c>
      <c r="E987" s="1" t="n">
        <v>36</v>
      </c>
      <c r="F987" s="1" t="s">
        <v>45</v>
      </c>
      <c r="G987" s="1" t="s">
        <v>46</v>
      </c>
      <c r="H987" s="1" t="n">
        <v>23</v>
      </c>
      <c r="I987" s="1" t="n">
        <v>2027.22</v>
      </c>
      <c r="J987" s="1" t="n">
        <v>300</v>
      </c>
    </row>
    <row r="988" customFormat="false" ht="15" hidden="false" customHeight="true" outlineLevel="0" collapsed="false">
      <c r="A988" s="1" t="s">
        <v>309</v>
      </c>
      <c r="B988" s="1" t="s">
        <v>51</v>
      </c>
      <c r="C988" s="1" t="s">
        <v>306</v>
      </c>
      <c r="D988" s="1" t="n">
        <v>9</v>
      </c>
      <c r="E988" s="1" t="n">
        <v>36</v>
      </c>
      <c r="F988" s="1" t="s">
        <v>47</v>
      </c>
      <c r="G988" s="1" t="s">
        <v>48</v>
      </c>
      <c r="H988" s="1" t="n">
        <v>33</v>
      </c>
      <c r="I988" s="1" t="n">
        <v>3298.02</v>
      </c>
      <c r="J988" s="1" t="n">
        <v>300</v>
      </c>
    </row>
    <row r="989" customFormat="false" ht="15" hidden="false" customHeight="true" outlineLevel="0" collapsed="false">
      <c r="A989" s="1" t="s">
        <v>309</v>
      </c>
      <c r="B989" s="1" t="s">
        <v>51</v>
      </c>
      <c r="C989" s="1" t="s">
        <v>306</v>
      </c>
      <c r="D989" s="1" t="n">
        <v>9</v>
      </c>
      <c r="E989" s="1" t="n">
        <v>36</v>
      </c>
      <c r="F989" s="1" t="s">
        <v>49</v>
      </c>
      <c r="G989" s="1" t="s">
        <v>49</v>
      </c>
      <c r="H989" s="1" t="n">
        <v>33</v>
      </c>
      <c r="I989" s="1" t="n">
        <v>2951.85</v>
      </c>
      <c r="J989" s="1" t="n">
        <v>300</v>
      </c>
    </row>
    <row r="990" customFormat="false" ht="15" hidden="false" customHeight="true" outlineLevel="0" collapsed="false">
      <c r="A990" s="1" t="s">
        <v>310</v>
      </c>
      <c r="B990" s="1" t="s">
        <v>53</v>
      </c>
      <c r="C990" s="1" t="s">
        <v>306</v>
      </c>
      <c r="D990" s="1" t="n">
        <v>9</v>
      </c>
      <c r="E990" s="1" t="n">
        <v>36</v>
      </c>
      <c r="F990" s="1" t="s">
        <v>43</v>
      </c>
      <c r="G990" s="1" t="s">
        <v>44</v>
      </c>
      <c r="H990" s="1" t="n">
        <v>115</v>
      </c>
      <c r="I990" s="1" t="n">
        <v>14757.95</v>
      </c>
      <c r="J990" s="1" t="n">
        <v>300</v>
      </c>
    </row>
    <row r="991" customFormat="false" ht="15" hidden="false" customHeight="true" outlineLevel="0" collapsed="false">
      <c r="A991" s="1" t="s">
        <v>310</v>
      </c>
      <c r="B991" s="1" t="s">
        <v>53</v>
      </c>
      <c r="C991" s="1" t="s">
        <v>306</v>
      </c>
      <c r="D991" s="1" t="n">
        <v>9</v>
      </c>
      <c r="E991" s="1" t="n">
        <v>36</v>
      </c>
      <c r="F991" s="1" t="s">
        <v>45</v>
      </c>
      <c r="G991" s="1" t="s">
        <v>46</v>
      </c>
      <c r="H991" s="1" t="n">
        <v>20</v>
      </c>
      <c r="I991" s="1" t="n">
        <v>2192.6</v>
      </c>
      <c r="J991" s="1" t="n">
        <v>300</v>
      </c>
    </row>
    <row r="992" customFormat="false" ht="15" hidden="false" customHeight="true" outlineLevel="0" collapsed="false">
      <c r="A992" s="1" t="s">
        <v>310</v>
      </c>
      <c r="B992" s="1" t="s">
        <v>53</v>
      </c>
      <c r="C992" s="1" t="s">
        <v>306</v>
      </c>
      <c r="D992" s="1" t="n">
        <v>9</v>
      </c>
      <c r="E992" s="1" t="n">
        <v>36</v>
      </c>
      <c r="F992" s="1" t="s">
        <v>47</v>
      </c>
      <c r="G992" s="1" t="s">
        <v>48</v>
      </c>
      <c r="H992" s="1" t="n">
        <v>28</v>
      </c>
      <c r="I992" s="1" t="n">
        <v>2537.08</v>
      </c>
      <c r="J992" s="1" t="n">
        <v>300</v>
      </c>
    </row>
    <row r="993" customFormat="false" ht="15" hidden="false" customHeight="true" outlineLevel="0" collapsed="false">
      <c r="A993" s="1" t="s">
        <v>310</v>
      </c>
      <c r="B993" s="1" t="s">
        <v>53</v>
      </c>
      <c r="C993" s="1" t="s">
        <v>306</v>
      </c>
      <c r="D993" s="1" t="n">
        <v>9</v>
      </c>
      <c r="E993" s="1" t="n">
        <v>36</v>
      </c>
      <c r="F993" s="1" t="s">
        <v>49</v>
      </c>
      <c r="G993" s="1" t="s">
        <v>49</v>
      </c>
      <c r="H993" s="1" t="n">
        <v>31</v>
      </c>
      <c r="I993" s="1" t="n">
        <v>2985.92</v>
      </c>
      <c r="J993" s="1" t="n">
        <v>300</v>
      </c>
    </row>
    <row r="994" customFormat="false" ht="15" hidden="false" customHeight="true" outlineLevel="0" collapsed="false">
      <c r="A994" s="1" t="s">
        <v>311</v>
      </c>
      <c r="B994" s="1" t="s">
        <v>55</v>
      </c>
      <c r="C994" s="1" t="s">
        <v>306</v>
      </c>
      <c r="D994" s="1" t="n">
        <v>9</v>
      </c>
      <c r="E994" s="1" t="n">
        <v>36</v>
      </c>
      <c r="F994" s="1" t="s">
        <v>43</v>
      </c>
      <c r="G994" s="1" t="s">
        <v>44</v>
      </c>
      <c r="H994" s="1" t="n">
        <v>21</v>
      </c>
      <c r="I994" s="1" t="n">
        <v>2628.36</v>
      </c>
      <c r="J994" s="1" t="n">
        <v>300</v>
      </c>
    </row>
    <row r="995" customFormat="false" ht="15" hidden="false" customHeight="true" outlineLevel="0" collapsed="false">
      <c r="A995" s="1" t="s">
        <v>311</v>
      </c>
      <c r="B995" s="1" t="s">
        <v>55</v>
      </c>
      <c r="C995" s="1" t="s">
        <v>306</v>
      </c>
      <c r="D995" s="1" t="n">
        <v>9</v>
      </c>
      <c r="E995" s="1" t="n">
        <v>36</v>
      </c>
      <c r="F995" s="1" t="s">
        <v>45</v>
      </c>
      <c r="G995" s="1" t="s">
        <v>46</v>
      </c>
      <c r="H995" s="1" t="n">
        <v>64</v>
      </c>
      <c r="I995" s="1" t="n">
        <v>7061.12</v>
      </c>
      <c r="J995" s="1" t="n">
        <v>300</v>
      </c>
    </row>
    <row r="996" customFormat="false" ht="15" hidden="false" customHeight="true" outlineLevel="0" collapsed="false">
      <c r="A996" s="1" t="s">
        <v>311</v>
      </c>
      <c r="B996" s="1" t="s">
        <v>55</v>
      </c>
      <c r="C996" s="1" t="s">
        <v>306</v>
      </c>
      <c r="D996" s="1" t="n">
        <v>9</v>
      </c>
      <c r="E996" s="1" t="n">
        <v>36</v>
      </c>
      <c r="F996" s="1" t="s">
        <v>47</v>
      </c>
      <c r="G996" s="1" t="s">
        <v>48</v>
      </c>
      <c r="H996" s="1" t="n">
        <v>16</v>
      </c>
      <c r="I996" s="1" t="n">
        <v>1621.44</v>
      </c>
      <c r="J996" s="1" t="n">
        <v>300</v>
      </c>
    </row>
    <row r="997" customFormat="false" ht="15" hidden="false" customHeight="true" outlineLevel="0" collapsed="false">
      <c r="A997" s="1" t="s">
        <v>311</v>
      </c>
      <c r="B997" s="1" t="s">
        <v>55</v>
      </c>
      <c r="C997" s="1" t="s">
        <v>306</v>
      </c>
      <c r="D997" s="1" t="n">
        <v>9</v>
      </c>
      <c r="E997" s="1" t="n">
        <v>36</v>
      </c>
      <c r="F997" s="1" t="s">
        <v>49</v>
      </c>
      <c r="G997" s="1" t="s">
        <v>49</v>
      </c>
      <c r="H997" s="1" t="n">
        <v>45</v>
      </c>
      <c r="I997" s="1" t="n">
        <v>4307.85</v>
      </c>
      <c r="J997" s="1" t="n">
        <v>300</v>
      </c>
    </row>
    <row r="998" customFormat="false" ht="15" hidden="false" customHeight="true" outlineLevel="0" collapsed="false">
      <c r="A998" s="1" t="s">
        <v>312</v>
      </c>
      <c r="B998" s="1" t="s">
        <v>57</v>
      </c>
      <c r="C998" s="1" t="s">
        <v>306</v>
      </c>
      <c r="D998" s="1" t="n">
        <v>9</v>
      </c>
      <c r="E998" s="1" t="n">
        <v>36</v>
      </c>
      <c r="F998" s="1" t="s">
        <v>43</v>
      </c>
      <c r="G998" s="1" t="s">
        <v>44</v>
      </c>
      <c r="H998" s="1" t="n">
        <v>22</v>
      </c>
      <c r="I998" s="1" t="n">
        <v>2784.76</v>
      </c>
      <c r="J998" s="1" t="n">
        <v>300</v>
      </c>
    </row>
    <row r="999" customFormat="false" ht="15" hidden="false" customHeight="true" outlineLevel="0" collapsed="false">
      <c r="A999" s="1" t="s">
        <v>312</v>
      </c>
      <c r="B999" s="1" t="s">
        <v>57</v>
      </c>
      <c r="C999" s="1" t="s">
        <v>306</v>
      </c>
      <c r="D999" s="1" t="n">
        <v>9</v>
      </c>
      <c r="E999" s="1" t="n">
        <v>36</v>
      </c>
      <c r="F999" s="1" t="s">
        <v>45</v>
      </c>
      <c r="G999" s="1" t="s">
        <v>46</v>
      </c>
      <c r="H999" s="1" t="n">
        <v>62</v>
      </c>
      <c r="I999" s="1" t="n">
        <v>7061.18</v>
      </c>
      <c r="J999" s="1" t="n">
        <v>300</v>
      </c>
    </row>
    <row r="1000" customFormat="false" ht="15" hidden="false" customHeight="true" outlineLevel="0" collapsed="false">
      <c r="A1000" s="1" t="s">
        <v>312</v>
      </c>
      <c r="B1000" s="1" t="s">
        <v>57</v>
      </c>
      <c r="C1000" s="1" t="s">
        <v>306</v>
      </c>
      <c r="D1000" s="1" t="n">
        <v>9</v>
      </c>
      <c r="E1000" s="1" t="n">
        <v>36</v>
      </c>
      <c r="F1000" s="1" t="s">
        <v>47</v>
      </c>
      <c r="G1000" s="1" t="s">
        <v>48</v>
      </c>
      <c r="H1000" s="1" t="n">
        <v>16</v>
      </c>
      <c r="I1000" s="1" t="n">
        <v>1496.96</v>
      </c>
      <c r="J1000" s="1" t="n">
        <v>300</v>
      </c>
    </row>
    <row r="1001" customFormat="false" ht="15" hidden="false" customHeight="true" outlineLevel="0" collapsed="false">
      <c r="A1001" s="1" t="s">
        <v>312</v>
      </c>
      <c r="B1001" s="1" t="s">
        <v>57</v>
      </c>
      <c r="C1001" s="1" t="s">
        <v>306</v>
      </c>
      <c r="D1001" s="1" t="n">
        <v>9</v>
      </c>
      <c r="E1001" s="1" t="n">
        <v>36</v>
      </c>
      <c r="F1001" s="1" t="s">
        <v>49</v>
      </c>
      <c r="G1001" s="1" t="s">
        <v>49</v>
      </c>
      <c r="H1001" s="1" t="n">
        <v>41</v>
      </c>
      <c r="I1001" s="1" t="n">
        <v>3587.09</v>
      </c>
      <c r="J1001" s="1" t="n">
        <v>300</v>
      </c>
    </row>
    <row r="1002" customFormat="false" ht="15" hidden="false" customHeight="true" outlineLevel="0" collapsed="false">
      <c r="A1002" s="1" t="s">
        <v>313</v>
      </c>
      <c r="B1002" s="1" t="s">
        <v>59</v>
      </c>
      <c r="C1002" s="1" t="s">
        <v>306</v>
      </c>
      <c r="D1002" s="1" t="n">
        <v>9</v>
      </c>
      <c r="E1002" s="1" t="n">
        <v>37</v>
      </c>
      <c r="F1002" s="1" t="s">
        <v>43</v>
      </c>
      <c r="G1002" s="1" t="s">
        <v>44</v>
      </c>
      <c r="H1002" s="1" t="n">
        <v>98</v>
      </c>
      <c r="I1002" s="1" t="n">
        <v>11796.26</v>
      </c>
      <c r="J1002" s="1" t="n">
        <v>300</v>
      </c>
    </row>
    <row r="1003" customFormat="false" ht="15" hidden="false" customHeight="true" outlineLevel="0" collapsed="false">
      <c r="A1003" s="1" t="s">
        <v>313</v>
      </c>
      <c r="B1003" s="1" t="s">
        <v>59</v>
      </c>
      <c r="C1003" s="1" t="s">
        <v>306</v>
      </c>
      <c r="D1003" s="1" t="n">
        <v>9</v>
      </c>
      <c r="E1003" s="1" t="n">
        <v>37</v>
      </c>
      <c r="F1003" s="1" t="s">
        <v>45</v>
      </c>
      <c r="G1003" s="1" t="s">
        <v>46</v>
      </c>
      <c r="H1003" s="1" t="n">
        <v>20</v>
      </c>
      <c r="I1003" s="1" t="n">
        <v>2100.8</v>
      </c>
      <c r="J1003" s="1" t="n">
        <v>300</v>
      </c>
    </row>
    <row r="1004" customFormat="false" ht="15" hidden="false" customHeight="true" outlineLevel="0" collapsed="false">
      <c r="A1004" s="1" t="s">
        <v>313</v>
      </c>
      <c r="B1004" s="1" t="s">
        <v>59</v>
      </c>
      <c r="C1004" s="1" t="s">
        <v>306</v>
      </c>
      <c r="D1004" s="1" t="n">
        <v>9</v>
      </c>
      <c r="E1004" s="1" t="n">
        <v>37</v>
      </c>
      <c r="F1004" s="1" t="s">
        <v>47</v>
      </c>
      <c r="G1004" s="1" t="s">
        <v>48</v>
      </c>
      <c r="H1004" s="1" t="n">
        <v>26</v>
      </c>
      <c r="I1004" s="1" t="n">
        <v>2601.3</v>
      </c>
      <c r="J1004" s="1" t="n">
        <v>300</v>
      </c>
    </row>
    <row r="1005" customFormat="false" ht="15" hidden="false" customHeight="true" outlineLevel="0" collapsed="false">
      <c r="A1005" s="1" t="s">
        <v>313</v>
      </c>
      <c r="B1005" s="1" t="s">
        <v>59</v>
      </c>
      <c r="C1005" s="1" t="s">
        <v>306</v>
      </c>
      <c r="D1005" s="1" t="n">
        <v>9</v>
      </c>
      <c r="E1005" s="1" t="n">
        <v>37</v>
      </c>
      <c r="F1005" s="1" t="s">
        <v>49</v>
      </c>
      <c r="G1005" s="1" t="s">
        <v>49</v>
      </c>
      <c r="H1005" s="1" t="n">
        <v>33</v>
      </c>
      <c r="I1005" s="1" t="n">
        <v>2873.97</v>
      </c>
      <c r="J1005" s="1" t="n">
        <v>300</v>
      </c>
    </row>
    <row r="1006" customFormat="false" ht="15" hidden="false" customHeight="true" outlineLevel="0" collapsed="false">
      <c r="A1006" s="1" t="s">
        <v>314</v>
      </c>
      <c r="B1006" s="1" t="s">
        <v>61</v>
      </c>
      <c r="C1006" s="1" t="s">
        <v>306</v>
      </c>
      <c r="D1006" s="1" t="n">
        <v>9</v>
      </c>
      <c r="E1006" s="1" t="n">
        <v>37</v>
      </c>
      <c r="F1006" s="1" t="s">
        <v>43</v>
      </c>
      <c r="G1006" s="1" t="s">
        <v>44</v>
      </c>
      <c r="H1006" s="1" t="n">
        <v>111</v>
      </c>
      <c r="I1006" s="1" t="n">
        <v>14235.75</v>
      </c>
      <c r="J1006" s="1" t="n">
        <v>300</v>
      </c>
    </row>
    <row r="1007" customFormat="false" ht="15" hidden="false" customHeight="true" outlineLevel="0" collapsed="false">
      <c r="A1007" s="1" t="s">
        <v>314</v>
      </c>
      <c r="B1007" s="1" t="s">
        <v>61</v>
      </c>
      <c r="C1007" s="1" t="s">
        <v>306</v>
      </c>
      <c r="D1007" s="1" t="n">
        <v>9</v>
      </c>
      <c r="E1007" s="1" t="n">
        <v>37</v>
      </c>
      <c r="F1007" s="1" t="s">
        <v>45</v>
      </c>
      <c r="G1007" s="1" t="s">
        <v>46</v>
      </c>
      <c r="H1007" s="1" t="n">
        <v>19</v>
      </c>
      <c r="I1007" s="1" t="n">
        <v>1940.28</v>
      </c>
      <c r="J1007" s="1" t="n">
        <v>300</v>
      </c>
    </row>
    <row r="1008" customFormat="false" ht="15" hidden="false" customHeight="true" outlineLevel="0" collapsed="false">
      <c r="A1008" s="1" t="s">
        <v>314</v>
      </c>
      <c r="B1008" s="1" t="s">
        <v>61</v>
      </c>
      <c r="C1008" s="1" t="s">
        <v>306</v>
      </c>
      <c r="D1008" s="1" t="n">
        <v>9</v>
      </c>
      <c r="E1008" s="1" t="n">
        <v>37</v>
      </c>
      <c r="F1008" s="1" t="s">
        <v>47</v>
      </c>
      <c r="G1008" s="1" t="s">
        <v>48</v>
      </c>
      <c r="H1008" s="1" t="n">
        <v>29</v>
      </c>
      <c r="I1008" s="1" t="n">
        <v>2703.09</v>
      </c>
      <c r="J1008" s="1" t="n">
        <v>300</v>
      </c>
    </row>
    <row r="1009" customFormat="false" ht="15" hidden="false" customHeight="true" outlineLevel="0" collapsed="false">
      <c r="A1009" s="1" t="s">
        <v>314</v>
      </c>
      <c r="B1009" s="1" t="s">
        <v>61</v>
      </c>
      <c r="C1009" s="1" t="s">
        <v>306</v>
      </c>
      <c r="D1009" s="1" t="n">
        <v>9</v>
      </c>
      <c r="E1009" s="1" t="n">
        <v>37</v>
      </c>
      <c r="F1009" s="1" t="s">
        <v>49</v>
      </c>
      <c r="G1009" s="1" t="s">
        <v>49</v>
      </c>
      <c r="H1009" s="1" t="n">
        <v>35</v>
      </c>
      <c r="I1009" s="1" t="n">
        <v>3168.2</v>
      </c>
      <c r="J1009" s="1" t="n">
        <v>300</v>
      </c>
    </row>
    <row r="1010" customFormat="false" ht="15" hidden="false" customHeight="true" outlineLevel="0" collapsed="false">
      <c r="A1010" s="1" t="s">
        <v>315</v>
      </c>
      <c r="B1010" s="1" t="s">
        <v>41</v>
      </c>
      <c r="C1010" s="1" t="s">
        <v>306</v>
      </c>
      <c r="D1010" s="1" t="n">
        <v>9</v>
      </c>
      <c r="E1010" s="1" t="n">
        <v>37</v>
      </c>
      <c r="F1010" s="1" t="s">
        <v>43</v>
      </c>
      <c r="G1010" s="1" t="s">
        <v>44</v>
      </c>
      <c r="H1010" s="1" t="n">
        <v>102</v>
      </c>
      <c r="I1010" s="1" t="n">
        <v>10895.64</v>
      </c>
      <c r="J1010" s="1" t="n">
        <v>300</v>
      </c>
    </row>
    <row r="1011" customFormat="false" ht="15" hidden="false" customHeight="true" outlineLevel="0" collapsed="false">
      <c r="A1011" s="1" t="s">
        <v>315</v>
      </c>
      <c r="B1011" s="1" t="s">
        <v>41</v>
      </c>
      <c r="C1011" s="1" t="s">
        <v>306</v>
      </c>
      <c r="D1011" s="1" t="n">
        <v>9</v>
      </c>
      <c r="E1011" s="1" t="n">
        <v>37</v>
      </c>
      <c r="F1011" s="1" t="s">
        <v>45</v>
      </c>
      <c r="G1011" s="1" t="s">
        <v>46</v>
      </c>
      <c r="H1011" s="1" t="n">
        <v>23</v>
      </c>
      <c r="I1011" s="1" t="n">
        <v>2278.38</v>
      </c>
      <c r="J1011" s="1" t="n">
        <v>300</v>
      </c>
    </row>
    <row r="1012" customFormat="false" ht="15" hidden="false" customHeight="true" outlineLevel="0" collapsed="false">
      <c r="A1012" s="1" t="s">
        <v>315</v>
      </c>
      <c r="B1012" s="1" t="s">
        <v>41</v>
      </c>
      <c r="C1012" s="1" t="s">
        <v>306</v>
      </c>
      <c r="D1012" s="1" t="n">
        <v>9</v>
      </c>
      <c r="E1012" s="1" t="n">
        <v>37</v>
      </c>
      <c r="F1012" s="1" t="s">
        <v>47</v>
      </c>
      <c r="G1012" s="1" t="s">
        <v>48</v>
      </c>
      <c r="H1012" s="1" t="n">
        <v>31</v>
      </c>
      <c r="I1012" s="1" t="n">
        <v>3113.33</v>
      </c>
      <c r="J1012" s="1" t="n">
        <v>300</v>
      </c>
    </row>
    <row r="1013" customFormat="false" ht="15" hidden="false" customHeight="true" outlineLevel="0" collapsed="false">
      <c r="A1013" s="1" t="s">
        <v>315</v>
      </c>
      <c r="B1013" s="1" t="s">
        <v>41</v>
      </c>
      <c r="C1013" s="1" t="s">
        <v>306</v>
      </c>
      <c r="D1013" s="1" t="n">
        <v>9</v>
      </c>
      <c r="E1013" s="1" t="n">
        <v>37</v>
      </c>
      <c r="F1013" s="1" t="s">
        <v>49</v>
      </c>
      <c r="G1013" s="1" t="s">
        <v>49</v>
      </c>
      <c r="H1013" s="1" t="n">
        <v>37</v>
      </c>
      <c r="I1013" s="1" t="n">
        <v>3122.43</v>
      </c>
      <c r="J1013" s="1" t="n">
        <v>300</v>
      </c>
    </row>
    <row r="1014" customFormat="false" ht="15" hidden="false" customHeight="true" outlineLevel="0" collapsed="false">
      <c r="A1014" s="1" t="s">
        <v>316</v>
      </c>
      <c r="B1014" s="1" t="s">
        <v>51</v>
      </c>
      <c r="C1014" s="1" t="s">
        <v>306</v>
      </c>
      <c r="D1014" s="1" t="n">
        <v>9</v>
      </c>
      <c r="E1014" s="1" t="n">
        <v>37</v>
      </c>
      <c r="F1014" s="1" t="s">
        <v>43</v>
      </c>
      <c r="G1014" s="1" t="s">
        <v>44</v>
      </c>
      <c r="H1014" s="1" t="n">
        <v>76</v>
      </c>
      <c r="I1014" s="1" t="n">
        <v>9329.76</v>
      </c>
      <c r="J1014" s="1" t="n">
        <v>300</v>
      </c>
    </row>
    <row r="1015" customFormat="false" ht="15" hidden="false" customHeight="true" outlineLevel="0" collapsed="false">
      <c r="A1015" s="1" t="s">
        <v>316</v>
      </c>
      <c r="B1015" s="1" t="s">
        <v>51</v>
      </c>
      <c r="C1015" s="1" t="s">
        <v>306</v>
      </c>
      <c r="D1015" s="1" t="n">
        <v>9</v>
      </c>
      <c r="E1015" s="1" t="n">
        <v>37</v>
      </c>
      <c r="F1015" s="1" t="s">
        <v>45</v>
      </c>
      <c r="G1015" s="1" t="s">
        <v>46</v>
      </c>
      <c r="H1015" s="1" t="n">
        <v>26</v>
      </c>
      <c r="I1015" s="1" t="n">
        <v>2989.22</v>
      </c>
      <c r="J1015" s="1" t="n">
        <v>300</v>
      </c>
    </row>
    <row r="1016" customFormat="false" ht="15" hidden="false" customHeight="true" outlineLevel="0" collapsed="false">
      <c r="A1016" s="1" t="s">
        <v>316</v>
      </c>
      <c r="B1016" s="1" t="s">
        <v>51</v>
      </c>
      <c r="C1016" s="1" t="s">
        <v>306</v>
      </c>
      <c r="D1016" s="1" t="n">
        <v>9</v>
      </c>
      <c r="E1016" s="1" t="n">
        <v>37</v>
      </c>
      <c r="F1016" s="1" t="s">
        <v>47</v>
      </c>
      <c r="G1016" s="1" t="s">
        <v>48</v>
      </c>
      <c r="H1016" s="1" t="n">
        <v>31</v>
      </c>
      <c r="I1016" s="1" t="n">
        <v>2971.97</v>
      </c>
      <c r="J1016" s="1" t="n">
        <v>300</v>
      </c>
    </row>
    <row r="1017" customFormat="false" ht="15" hidden="false" customHeight="true" outlineLevel="0" collapsed="false">
      <c r="A1017" s="1" t="s">
        <v>316</v>
      </c>
      <c r="B1017" s="1" t="s">
        <v>51</v>
      </c>
      <c r="C1017" s="1" t="s">
        <v>306</v>
      </c>
      <c r="D1017" s="1" t="n">
        <v>9</v>
      </c>
      <c r="E1017" s="1" t="n">
        <v>37</v>
      </c>
      <c r="F1017" s="1" t="s">
        <v>49</v>
      </c>
      <c r="G1017" s="1" t="s">
        <v>49</v>
      </c>
      <c r="H1017" s="1" t="n">
        <v>35</v>
      </c>
      <c r="I1017" s="1" t="n">
        <v>3018.05</v>
      </c>
      <c r="J1017" s="1" t="n">
        <v>300</v>
      </c>
    </row>
    <row r="1018" customFormat="false" ht="15" hidden="false" customHeight="true" outlineLevel="0" collapsed="false">
      <c r="A1018" s="1" t="s">
        <v>317</v>
      </c>
      <c r="B1018" s="1" t="s">
        <v>53</v>
      </c>
      <c r="C1018" s="1" t="s">
        <v>306</v>
      </c>
      <c r="D1018" s="1" t="n">
        <v>9</v>
      </c>
      <c r="E1018" s="1" t="n">
        <v>37</v>
      </c>
      <c r="F1018" s="1" t="s">
        <v>43</v>
      </c>
      <c r="G1018" s="1" t="s">
        <v>44</v>
      </c>
      <c r="H1018" s="1" t="n">
        <v>109</v>
      </c>
      <c r="I1018" s="1" t="n">
        <v>13636.99</v>
      </c>
      <c r="J1018" s="1" t="n">
        <v>300</v>
      </c>
    </row>
    <row r="1019" customFormat="false" ht="15" hidden="false" customHeight="true" outlineLevel="0" collapsed="false">
      <c r="A1019" s="1" t="s">
        <v>317</v>
      </c>
      <c r="B1019" s="1" t="s">
        <v>53</v>
      </c>
      <c r="C1019" s="1" t="s">
        <v>306</v>
      </c>
      <c r="D1019" s="1" t="n">
        <v>9</v>
      </c>
      <c r="E1019" s="1" t="n">
        <v>37</v>
      </c>
      <c r="F1019" s="1" t="s">
        <v>45</v>
      </c>
      <c r="G1019" s="1" t="s">
        <v>46</v>
      </c>
      <c r="H1019" s="1" t="n">
        <v>24</v>
      </c>
      <c r="I1019" s="1" t="n">
        <v>2993.76</v>
      </c>
      <c r="J1019" s="1" t="n">
        <v>300</v>
      </c>
    </row>
    <row r="1020" customFormat="false" ht="15" hidden="false" customHeight="true" outlineLevel="0" collapsed="false">
      <c r="A1020" s="1" t="s">
        <v>317</v>
      </c>
      <c r="B1020" s="1" t="s">
        <v>53</v>
      </c>
      <c r="C1020" s="1" t="s">
        <v>306</v>
      </c>
      <c r="D1020" s="1" t="n">
        <v>9</v>
      </c>
      <c r="E1020" s="1" t="n">
        <v>37</v>
      </c>
      <c r="F1020" s="1" t="s">
        <v>47</v>
      </c>
      <c r="G1020" s="1" t="s">
        <v>48</v>
      </c>
      <c r="H1020" s="1" t="n">
        <v>32</v>
      </c>
      <c r="I1020" s="1" t="n">
        <v>3064.64</v>
      </c>
      <c r="J1020" s="1" t="n">
        <v>300</v>
      </c>
    </row>
    <row r="1021" customFormat="false" ht="15" hidden="false" customHeight="true" outlineLevel="0" collapsed="false">
      <c r="A1021" s="1" t="s">
        <v>317</v>
      </c>
      <c r="B1021" s="1" t="s">
        <v>53</v>
      </c>
      <c r="C1021" s="1" t="s">
        <v>306</v>
      </c>
      <c r="D1021" s="1" t="n">
        <v>9</v>
      </c>
      <c r="E1021" s="1" t="n">
        <v>37</v>
      </c>
      <c r="F1021" s="1" t="s">
        <v>49</v>
      </c>
      <c r="G1021" s="1" t="s">
        <v>49</v>
      </c>
      <c r="H1021" s="1" t="n">
        <v>33</v>
      </c>
      <c r="I1021" s="1" t="n">
        <v>2701.38</v>
      </c>
      <c r="J1021" s="1" t="n">
        <v>300</v>
      </c>
    </row>
    <row r="1022" customFormat="false" ht="15" hidden="false" customHeight="true" outlineLevel="0" collapsed="false">
      <c r="A1022" s="1" t="s">
        <v>318</v>
      </c>
      <c r="B1022" s="1" t="s">
        <v>55</v>
      </c>
      <c r="C1022" s="1" t="s">
        <v>306</v>
      </c>
      <c r="D1022" s="1" t="n">
        <v>9</v>
      </c>
      <c r="E1022" s="1" t="n">
        <v>37</v>
      </c>
      <c r="F1022" s="1" t="s">
        <v>43</v>
      </c>
      <c r="G1022" s="1" t="s">
        <v>44</v>
      </c>
      <c r="H1022" s="1" t="n">
        <v>19</v>
      </c>
      <c r="I1022" s="1" t="n">
        <v>2250.36</v>
      </c>
      <c r="J1022" s="1" t="n">
        <v>300</v>
      </c>
    </row>
    <row r="1023" customFormat="false" ht="15" hidden="false" customHeight="true" outlineLevel="0" collapsed="false">
      <c r="A1023" s="1" t="s">
        <v>318</v>
      </c>
      <c r="B1023" s="1" t="s">
        <v>55</v>
      </c>
      <c r="C1023" s="1" t="s">
        <v>306</v>
      </c>
      <c r="D1023" s="1" t="n">
        <v>9</v>
      </c>
      <c r="E1023" s="1" t="n">
        <v>37</v>
      </c>
      <c r="F1023" s="1" t="s">
        <v>45</v>
      </c>
      <c r="G1023" s="1" t="s">
        <v>46</v>
      </c>
      <c r="H1023" s="1" t="n">
        <v>58</v>
      </c>
      <c r="I1023" s="1" t="n">
        <v>6263.42</v>
      </c>
      <c r="J1023" s="1" t="n">
        <v>300</v>
      </c>
    </row>
    <row r="1024" customFormat="false" ht="15" hidden="false" customHeight="true" outlineLevel="0" collapsed="false">
      <c r="A1024" s="1" t="s">
        <v>318</v>
      </c>
      <c r="B1024" s="1" t="s">
        <v>55</v>
      </c>
      <c r="C1024" s="1" t="s">
        <v>306</v>
      </c>
      <c r="D1024" s="1" t="n">
        <v>9</v>
      </c>
      <c r="E1024" s="1" t="n">
        <v>37</v>
      </c>
      <c r="F1024" s="1" t="s">
        <v>47</v>
      </c>
      <c r="G1024" s="1" t="s">
        <v>48</v>
      </c>
      <c r="H1024" s="1" t="n">
        <v>15</v>
      </c>
      <c r="I1024" s="1" t="n">
        <v>1581.45</v>
      </c>
      <c r="J1024" s="1" t="n">
        <v>300</v>
      </c>
    </row>
    <row r="1025" customFormat="false" ht="15" hidden="false" customHeight="true" outlineLevel="0" collapsed="false">
      <c r="A1025" s="1" t="s">
        <v>318</v>
      </c>
      <c r="B1025" s="1" t="s">
        <v>55</v>
      </c>
      <c r="C1025" s="1" t="s">
        <v>306</v>
      </c>
      <c r="D1025" s="1" t="n">
        <v>9</v>
      </c>
      <c r="E1025" s="1" t="n">
        <v>37</v>
      </c>
      <c r="F1025" s="1" t="s">
        <v>49</v>
      </c>
      <c r="G1025" s="1" t="s">
        <v>49</v>
      </c>
      <c r="H1025" s="1" t="n">
        <v>42</v>
      </c>
      <c r="I1025" s="1" t="n">
        <v>3844.26</v>
      </c>
      <c r="J1025" s="1" t="n">
        <v>300</v>
      </c>
    </row>
    <row r="1026" customFormat="false" ht="15" hidden="false" customHeight="true" outlineLevel="0" collapsed="false">
      <c r="A1026" s="1" t="s">
        <v>319</v>
      </c>
      <c r="B1026" s="1" t="s">
        <v>57</v>
      </c>
      <c r="C1026" s="1" t="s">
        <v>306</v>
      </c>
      <c r="D1026" s="1" t="n">
        <v>9</v>
      </c>
      <c r="E1026" s="1" t="n">
        <v>37</v>
      </c>
      <c r="F1026" s="1" t="s">
        <v>43</v>
      </c>
      <c r="G1026" s="1" t="s">
        <v>44</v>
      </c>
      <c r="H1026" s="1" t="n">
        <v>19</v>
      </c>
      <c r="I1026" s="1" t="n">
        <v>2328.45</v>
      </c>
      <c r="J1026" s="1" t="n">
        <v>300</v>
      </c>
    </row>
    <row r="1027" customFormat="false" ht="15" hidden="false" customHeight="true" outlineLevel="0" collapsed="false">
      <c r="A1027" s="1" t="s">
        <v>319</v>
      </c>
      <c r="B1027" s="1" t="s">
        <v>57</v>
      </c>
      <c r="C1027" s="1" t="s">
        <v>306</v>
      </c>
      <c r="D1027" s="1" t="n">
        <v>9</v>
      </c>
      <c r="E1027" s="1" t="n">
        <v>37</v>
      </c>
      <c r="F1027" s="1" t="s">
        <v>45</v>
      </c>
      <c r="G1027" s="1" t="s">
        <v>46</v>
      </c>
      <c r="H1027" s="1" t="n">
        <v>65</v>
      </c>
      <c r="I1027" s="1" t="n">
        <v>6594.25</v>
      </c>
      <c r="J1027" s="1" t="n">
        <v>300</v>
      </c>
    </row>
    <row r="1028" customFormat="false" ht="15" hidden="false" customHeight="true" outlineLevel="0" collapsed="false">
      <c r="A1028" s="1" t="s">
        <v>319</v>
      </c>
      <c r="B1028" s="1" t="s">
        <v>57</v>
      </c>
      <c r="C1028" s="1" t="s">
        <v>306</v>
      </c>
      <c r="D1028" s="1" t="n">
        <v>9</v>
      </c>
      <c r="E1028" s="1" t="n">
        <v>37</v>
      </c>
      <c r="F1028" s="1" t="s">
        <v>47</v>
      </c>
      <c r="G1028" s="1" t="s">
        <v>48</v>
      </c>
      <c r="H1028" s="1" t="n">
        <v>16</v>
      </c>
      <c r="I1028" s="1" t="n">
        <v>1551.68</v>
      </c>
      <c r="J1028" s="1" t="n">
        <v>300</v>
      </c>
    </row>
    <row r="1029" customFormat="false" ht="15" hidden="false" customHeight="true" outlineLevel="0" collapsed="false">
      <c r="A1029" s="1" t="s">
        <v>319</v>
      </c>
      <c r="B1029" s="1" t="s">
        <v>57</v>
      </c>
      <c r="C1029" s="1" t="s">
        <v>306</v>
      </c>
      <c r="D1029" s="1" t="n">
        <v>9</v>
      </c>
      <c r="E1029" s="1" t="n">
        <v>37</v>
      </c>
      <c r="F1029" s="1" t="s">
        <v>49</v>
      </c>
      <c r="G1029" s="1" t="s">
        <v>49</v>
      </c>
      <c r="H1029" s="1" t="n">
        <v>37</v>
      </c>
      <c r="I1029" s="1" t="n">
        <v>3221.96</v>
      </c>
      <c r="J1029" s="1" t="n">
        <v>300</v>
      </c>
    </row>
    <row r="1030" customFormat="false" ht="15" hidden="false" customHeight="true" outlineLevel="0" collapsed="false">
      <c r="A1030" s="1" t="s">
        <v>320</v>
      </c>
      <c r="B1030" s="1" t="s">
        <v>59</v>
      </c>
      <c r="C1030" s="1" t="s">
        <v>306</v>
      </c>
      <c r="D1030" s="1" t="n">
        <v>9</v>
      </c>
      <c r="E1030" s="1" t="n">
        <v>38</v>
      </c>
      <c r="F1030" s="1" t="s">
        <v>43</v>
      </c>
      <c r="G1030" s="1" t="s">
        <v>44</v>
      </c>
      <c r="H1030" s="1" t="n">
        <v>100</v>
      </c>
      <c r="I1030" s="1" t="n">
        <v>12779</v>
      </c>
      <c r="J1030" s="1" t="n">
        <v>300</v>
      </c>
    </row>
    <row r="1031" customFormat="false" ht="15" hidden="false" customHeight="true" outlineLevel="0" collapsed="false">
      <c r="A1031" s="1" t="s">
        <v>320</v>
      </c>
      <c r="B1031" s="1" t="s">
        <v>59</v>
      </c>
      <c r="C1031" s="1" t="s">
        <v>306</v>
      </c>
      <c r="D1031" s="1" t="n">
        <v>9</v>
      </c>
      <c r="E1031" s="1" t="n">
        <v>38</v>
      </c>
      <c r="F1031" s="1" t="s">
        <v>45</v>
      </c>
      <c r="G1031" s="1" t="s">
        <v>46</v>
      </c>
      <c r="H1031" s="1" t="n">
        <v>23</v>
      </c>
      <c r="I1031" s="1" t="n">
        <v>2489.98</v>
      </c>
      <c r="J1031" s="1" t="n">
        <v>300</v>
      </c>
    </row>
    <row r="1032" customFormat="false" ht="15" hidden="false" customHeight="true" outlineLevel="0" collapsed="false">
      <c r="A1032" s="1" t="s">
        <v>320</v>
      </c>
      <c r="B1032" s="1" t="s">
        <v>59</v>
      </c>
      <c r="C1032" s="1" t="s">
        <v>306</v>
      </c>
      <c r="D1032" s="1" t="n">
        <v>9</v>
      </c>
      <c r="E1032" s="1" t="n">
        <v>38</v>
      </c>
      <c r="F1032" s="1" t="s">
        <v>47</v>
      </c>
      <c r="G1032" s="1" t="s">
        <v>48</v>
      </c>
      <c r="H1032" s="1" t="n">
        <v>33</v>
      </c>
      <c r="I1032" s="1" t="n">
        <v>3233.01</v>
      </c>
      <c r="J1032" s="1" t="n">
        <v>300</v>
      </c>
    </row>
    <row r="1033" customFormat="false" ht="15" hidden="false" customHeight="true" outlineLevel="0" collapsed="false">
      <c r="A1033" s="1" t="s">
        <v>320</v>
      </c>
      <c r="B1033" s="1" t="s">
        <v>59</v>
      </c>
      <c r="C1033" s="1" t="s">
        <v>306</v>
      </c>
      <c r="D1033" s="1" t="n">
        <v>9</v>
      </c>
      <c r="E1033" s="1" t="n">
        <v>38</v>
      </c>
      <c r="F1033" s="1" t="s">
        <v>49</v>
      </c>
      <c r="G1033" s="1" t="s">
        <v>49</v>
      </c>
      <c r="H1033" s="1" t="n">
        <v>34</v>
      </c>
      <c r="I1033" s="1" t="n">
        <v>3094.34</v>
      </c>
      <c r="J1033" s="1" t="n">
        <v>300</v>
      </c>
    </row>
    <row r="1034" customFormat="false" ht="15" hidden="false" customHeight="true" outlineLevel="0" collapsed="false">
      <c r="A1034" s="1" t="s">
        <v>321</v>
      </c>
      <c r="B1034" s="1" t="s">
        <v>61</v>
      </c>
      <c r="C1034" s="1" t="s">
        <v>306</v>
      </c>
      <c r="D1034" s="1" t="n">
        <v>9</v>
      </c>
      <c r="E1034" s="1" t="n">
        <v>38</v>
      </c>
      <c r="F1034" s="1" t="s">
        <v>43</v>
      </c>
      <c r="G1034" s="1" t="s">
        <v>44</v>
      </c>
      <c r="H1034" s="1" t="n">
        <v>107</v>
      </c>
      <c r="I1034" s="1" t="n">
        <v>12538.26</v>
      </c>
      <c r="J1034" s="1" t="n">
        <v>300</v>
      </c>
    </row>
    <row r="1035" customFormat="false" ht="15" hidden="false" customHeight="true" outlineLevel="0" collapsed="false">
      <c r="A1035" s="1" t="s">
        <v>321</v>
      </c>
      <c r="B1035" s="1" t="s">
        <v>61</v>
      </c>
      <c r="C1035" s="1" t="s">
        <v>306</v>
      </c>
      <c r="D1035" s="1" t="n">
        <v>9</v>
      </c>
      <c r="E1035" s="1" t="n">
        <v>38</v>
      </c>
      <c r="F1035" s="1" t="s">
        <v>45</v>
      </c>
      <c r="G1035" s="1" t="s">
        <v>46</v>
      </c>
      <c r="H1035" s="1" t="n">
        <v>17</v>
      </c>
      <c r="I1035" s="1" t="n">
        <v>1804.55</v>
      </c>
      <c r="J1035" s="1" t="n">
        <v>300</v>
      </c>
    </row>
    <row r="1036" customFormat="false" ht="15" hidden="false" customHeight="true" outlineLevel="0" collapsed="false">
      <c r="A1036" s="1" t="s">
        <v>321</v>
      </c>
      <c r="B1036" s="1" t="s">
        <v>61</v>
      </c>
      <c r="C1036" s="1" t="s">
        <v>306</v>
      </c>
      <c r="D1036" s="1" t="n">
        <v>9</v>
      </c>
      <c r="E1036" s="1" t="n">
        <v>38</v>
      </c>
      <c r="F1036" s="1" t="s">
        <v>47</v>
      </c>
      <c r="G1036" s="1" t="s">
        <v>48</v>
      </c>
      <c r="H1036" s="1" t="n">
        <v>35</v>
      </c>
      <c r="I1036" s="1" t="n">
        <v>3649.45</v>
      </c>
      <c r="J1036" s="1" t="n">
        <v>300</v>
      </c>
    </row>
    <row r="1037" customFormat="false" ht="15" hidden="false" customHeight="true" outlineLevel="0" collapsed="false">
      <c r="A1037" s="1" t="s">
        <v>321</v>
      </c>
      <c r="B1037" s="1" t="s">
        <v>61</v>
      </c>
      <c r="C1037" s="1" t="s">
        <v>306</v>
      </c>
      <c r="D1037" s="1" t="n">
        <v>9</v>
      </c>
      <c r="E1037" s="1" t="n">
        <v>38</v>
      </c>
      <c r="F1037" s="1" t="s">
        <v>49</v>
      </c>
      <c r="G1037" s="1" t="s">
        <v>49</v>
      </c>
      <c r="H1037" s="1" t="n">
        <v>36</v>
      </c>
      <c r="I1037" s="1" t="n">
        <v>3541.32</v>
      </c>
      <c r="J1037" s="1" t="n">
        <v>300</v>
      </c>
    </row>
    <row r="1038" customFormat="false" ht="15" hidden="false" customHeight="true" outlineLevel="0" collapsed="false">
      <c r="A1038" s="1" t="s">
        <v>322</v>
      </c>
      <c r="B1038" s="1" t="s">
        <v>41</v>
      </c>
      <c r="C1038" s="1" t="s">
        <v>306</v>
      </c>
      <c r="D1038" s="1" t="n">
        <v>9</v>
      </c>
      <c r="E1038" s="1" t="n">
        <v>38</v>
      </c>
      <c r="F1038" s="1" t="s">
        <v>43</v>
      </c>
      <c r="G1038" s="1" t="s">
        <v>44</v>
      </c>
      <c r="H1038" s="1" t="n">
        <v>105</v>
      </c>
      <c r="I1038" s="1" t="n">
        <v>12900.3</v>
      </c>
      <c r="J1038" s="1" t="n">
        <v>300</v>
      </c>
    </row>
    <row r="1039" customFormat="false" ht="15" hidden="false" customHeight="true" outlineLevel="0" collapsed="false">
      <c r="A1039" s="1" t="s">
        <v>322</v>
      </c>
      <c r="B1039" s="1" t="s">
        <v>41</v>
      </c>
      <c r="C1039" s="1" t="s">
        <v>306</v>
      </c>
      <c r="D1039" s="1" t="n">
        <v>9</v>
      </c>
      <c r="E1039" s="1" t="n">
        <v>38</v>
      </c>
      <c r="F1039" s="1" t="s">
        <v>45</v>
      </c>
      <c r="G1039" s="1" t="s">
        <v>46</v>
      </c>
      <c r="H1039" s="1" t="n">
        <v>21</v>
      </c>
      <c r="I1039" s="1" t="n">
        <v>2204.79</v>
      </c>
      <c r="J1039" s="1" t="n">
        <v>300</v>
      </c>
    </row>
    <row r="1040" customFormat="false" ht="15" hidden="false" customHeight="true" outlineLevel="0" collapsed="false">
      <c r="A1040" s="1" t="s">
        <v>322</v>
      </c>
      <c r="B1040" s="1" t="s">
        <v>41</v>
      </c>
      <c r="C1040" s="1" t="s">
        <v>306</v>
      </c>
      <c r="D1040" s="1" t="n">
        <v>9</v>
      </c>
      <c r="E1040" s="1" t="n">
        <v>38</v>
      </c>
      <c r="F1040" s="1" t="s">
        <v>47</v>
      </c>
      <c r="G1040" s="1" t="s">
        <v>48</v>
      </c>
      <c r="H1040" s="1" t="n">
        <v>33</v>
      </c>
      <c r="I1040" s="1" t="n">
        <v>3495.36</v>
      </c>
      <c r="J1040" s="1" t="n">
        <v>300</v>
      </c>
    </row>
    <row r="1041" customFormat="false" ht="15" hidden="false" customHeight="true" outlineLevel="0" collapsed="false">
      <c r="A1041" s="1" t="s">
        <v>322</v>
      </c>
      <c r="B1041" s="1" t="s">
        <v>41</v>
      </c>
      <c r="C1041" s="1" t="s">
        <v>306</v>
      </c>
      <c r="D1041" s="1" t="n">
        <v>9</v>
      </c>
      <c r="E1041" s="1" t="n">
        <v>38</v>
      </c>
      <c r="F1041" s="1" t="s">
        <v>49</v>
      </c>
      <c r="G1041" s="1" t="s">
        <v>49</v>
      </c>
      <c r="H1041" s="1" t="n">
        <v>33</v>
      </c>
      <c r="I1041" s="1" t="n">
        <v>2940.63</v>
      </c>
      <c r="J1041" s="1" t="n">
        <v>300</v>
      </c>
    </row>
    <row r="1042" customFormat="false" ht="15" hidden="false" customHeight="true" outlineLevel="0" collapsed="false">
      <c r="A1042" s="1" t="s">
        <v>323</v>
      </c>
      <c r="B1042" s="1" t="s">
        <v>51</v>
      </c>
      <c r="C1042" s="1" t="s">
        <v>306</v>
      </c>
      <c r="D1042" s="1" t="n">
        <v>9</v>
      </c>
      <c r="E1042" s="1" t="n">
        <v>38</v>
      </c>
      <c r="F1042" s="1" t="s">
        <v>43</v>
      </c>
      <c r="G1042" s="1" t="s">
        <v>44</v>
      </c>
      <c r="H1042" s="1" t="n">
        <v>105</v>
      </c>
      <c r="I1042" s="1" t="n">
        <v>13209</v>
      </c>
      <c r="J1042" s="1" t="n">
        <v>300</v>
      </c>
    </row>
    <row r="1043" customFormat="false" ht="15" hidden="false" customHeight="true" outlineLevel="0" collapsed="false">
      <c r="A1043" s="1" t="s">
        <v>323</v>
      </c>
      <c r="B1043" s="1" t="s">
        <v>51</v>
      </c>
      <c r="C1043" s="1" t="s">
        <v>306</v>
      </c>
      <c r="D1043" s="1" t="n">
        <v>9</v>
      </c>
      <c r="E1043" s="1" t="n">
        <v>38</v>
      </c>
      <c r="F1043" s="1" t="s">
        <v>45</v>
      </c>
      <c r="G1043" s="1" t="s">
        <v>46</v>
      </c>
      <c r="H1043" s="1" t="n">
        <v>19</v>
      </c>
      <c r="I1043" s="1" t="n">
        <v>1753.13</v>
      </c>
      <c r="J1043" s="1" t="n">
        <v>300</v>
      </c>
    </row>
    <row r="1044" customFormat="false" ht="15" hidden="false" customHeight="true" outlineLevel="0" collapsed="false">
      <c r="A1044" s="1" t="s">
        <v>323</v>
      </c>
      <c r="B1044" s="1" t="s">
        <v>51</v>
      </c>
      <c r="C1044" s="1" t="s">
        <v>306</v>
      </c>
      <c r="D1044" s="1" t="n">
        <v>9</v>
      </c>
      <c r="E1044" s="1" t="n">
        <v>38</v>
      </c>
      <c r="F1044" s="1" t="s">
        <v>47</v>
      </c>
      <c r="G1044" s="1" t="s">
        <v>48</v>
      </c>
      <c r="H1044" s="1" t="n">
        <v>29</v>
      </c>
      <c r="I1044" s="1" t="n">
        <v>2654.95</v>
      </c>
      <c r="J1044" s="1" t="n">
        <v>300</v>
      </c>
    </row>
    <row r="1045" customFormat="false" ht="15" hidden="false" customHeight="true" outlineLevel="0" collapsed="false">
      <c r="A1045" s="1" t="s">
        <v>323</v>
      </c>
      <c r="B1045" s="1" t="s">
        <v>51</v>
      </c>
      <c r="C1045" s="1" t="s">
        <v>306</v>
      </c>
      <c r="D1045" s="1" t="n">
        <v>9</v>
      </c>
      <c r="E1045" s="1" t="n">
        <v>38</v>
      </c>
      <c r="F1045" s="1" t="s">
        <v>49</v>
      </c>
      <c r="G1045" s="1" t="s">
        <v>49</v>
      </c>
      <c r="H1045" s="1" t="n">
        <v>31</v>
      </c>
      <c r="I1045" s="1" t="n">
        <v>2813.87</v>
      </c>
      <c r="J1045" s="1" t="n">
        <v>300</v>
      </c>
    </row>
    <row r="1046" customFormat="false" ht="15" hidden="false" customHeight="true" outlineLevel="0" collapsed="false">
      <c r="A1046" s="1" t="s">
        <v>324</v>
      </c>
      <c r="B1046" s="1" t="s">
        <v>53</v>
      </c>
      <c r="C1046" s="1" t="s">
        <v>306</v>
      </c>
      <c r="D1046" s="1" t="n">
        <v>9</v>
      </c>
      <c r="E1046" s="1" t="n">
        <v>38</v>
      </c>
      <c r="F1046" s="1" t="s">
        <v>43</v>
      </c>
      <c r="G1046" s="1" t="s">
        <v>44</v>
      </c>
      <c r="H1046" s="1" t="n">
        <v>100</v>
      </c>
      <c r="I1046" s="1" t="n">
        <v>13200</v>
      </c>
      <c r="J1046" s="1" t="n">
        <v>300</v>
      </c>
    </row>
    <row r="1047" customFormat="false" ht="15" hidden="false" customHeight="true" outlineLevel="0" collapsed="false">
      <c r="A1047" s="1" t="s">
        <v>324</v>
      </c>
      <c r="B1047" s="1" t="s">
        <v>53</v>
      </c>
      <c r="C1047" s="1" t="s">
        <v>306</v>
      </c>
      <c r="D1047" s="1" t="n">
        <v>9</v>
      </c>
      <c r="E1047" s="1" t="n">
        <v>38</v>
      </c>
      <c r="F1047" s="1" t="s">
        <v>45</v>
      </c>
      <c r="G1047" s="1" t="s">
        <v>46</v>
      </c>
      <c r="H1047" s="1" t="n">
        <v>23</v>
      </c>
      <c r="I1047" s="1" t="n">
        <v>2505.85</v>
      </c>
      <c r="J1047" s="1" t="n">
        <v>300</v>
      </c>
    </row>
    <row r="1048" customFormat="false" ht="15" hidden="false" customHeight="true" outlineLevel="0" collapsed="false">
      <c r="A1048" s="1" t="s">
        <v>324</v>
      </c>
      <c r="B1048" s="1" t="s">
        <v>53</v>
      </c>
      <c r="C1048" s="1" t="s">
        <v>306</v>
      </c>
      <c r="D1048" s="1" t="n">
        <v>9</v>
      </c>
      <c r="E1048" s="1" t="n">
        <v>38</v>
      </c>
      <c r="F1048" s="1" t="s">
        <v>47</v>
      </c>
      <c r="G1048" s="1" t="s">
        <v>48</v>
      </c>
      <c r="H1048" s="1" t="n">
        <v>33</v>
      </c>
      <c r="I1048" s="1" t="n">
        <v>3036.99</v>
      </c>
      <c r="J1048" s="1" t="n">
        <v>300</v>
      </c>
    </row>
    <row r="1049" customFormat="false" ht="15" hidden="false" customHeight="true" outlineLevel="0" collapsed="false">
      <c r="A1049" s="1" t="s">
        <v>324</v>
      </c>
      <c r="B1049" s="1" t="s">
        <v>53</v>
      </c>
      <c r="C1049" s="1" t="s">
        <v>306</v>
      </c>
      <c r="D1049" s="1" t="n">
        <v>9</v>
      </c>
      <c r="E1049" s="1" t="n">
        <v>38</v>
      </c>
      <c r="F1049" s="1" t="s">
        <v>49</v>
      </c>
      <c r="G1049" s="1" t="s">
        <v>49</v>
      </c>
      <c r="H1049" s="1" t="n">
        <v>36</v>
      </c>
      <c r="I1049" s="1" t="n">
        <v>3282.12</v>
      </c>
      <c r="J1049" s="1" t="n">
        <v>300</v>
      </c>
    </row>
    <row r="1050" customFormat="false" ht="15" hidden="false" customHeight="true" outlineLevel="0" collapsed="false">
      <c r="A1050" s="1" t="s">
        <v>325</v>
      </c>
      <c r="B1050" s="1" t="s">
        <v>55</v>
      </c>
      <c r="C1050" s="1" t="s">
        <v>306</v>
      </c>
      <c r="D1050" s="1" t="n">
        <v>9</v>
      </c>
      <c r="E1050" s="1" t="n">
        <v>38</v>
      </c>
      <c r="F1050" s="1" t="s">
        <v>43</v>
      </c>
      <c r="G1050" s="1" t="s">
        <v>44</v>
      </c>
      <c r="H1050" s="1" t="n">
        <v>21</v>
      </c>
      <c r="I1050" s="1" t="n">
        <v>2385.81</v>
      </c>
      <c r="J1050" s="1" t="n">
        <v>300</v>
      </c>
    </row>
    <row r="1051" customFormat="false" ht="15" hidden="false" customHeight="true" outlineLevel="0" collapsed="false">
      <c r="A1051" s="1" t="s">
        <v>325</v>
      </c>
      <c r="B1051" s="1" t="s">
        <v>55</v>
      </c>
      <c r="C1051" s="1" t="s">
        <v>306</v>
      </c>
      <c r="D1051" s="1" t="n">
        <v>9</v>
      </c>
      <c r="E1051" s="1" t="n">
        <v>38</v>
      </c>
      <c r="F1051" s="1" t="s">
        <v>45</v>
      </c>
      <c r="G1051" s="1" t="s">
        <v>46</v>
      </c>
      <c r="H1051" s="1" t="n">
        <v>52</v>
      </c>
      <c r="I1051" s="1" t="n">
        <v>5838.04</v>
      </c>
      <c r="J1051" s="1" t="n">
        <v>300</v>
      </c>
    </row>
    <row r="1052" customFormat="false" ht="15" hidden="false" customHeight="true" outlineLevel="0" collapsed="false">
      <c r="A1052" s="1" t="s">
        <v>325</v>
      </c>
      <c r="B1052" s="1" t="s">
        <v>55</v>
      </c>
      <c r="C1052" s="1" t="s">
        <v>306</v>
      </c>
      <c r="D1052" s="1" t="n">
        <v>9</v>
      </c>
      <c r="E1052" s="1" t="n">
        <v>38</v>
      </c>
      <c r="F1052" s="1" t="s">
        <v>47</v>
      </c>
      <c r="G1052" s="1" t="s">
        <v>48</v>
      </c>
      <c r="H1052" s="1" t="n">
        <v>17</v>
      </c>
      <c r="I1052" s="1" t="n">
        <v>1588.48</v>
      </c>
      <c r="J1052" s="1" t="n">
        <v>300</v>
      </c>
    </row>
    <row r="1053" customFormat="false" ht="15" hidden="false" customHeight="true" outlineLevel="0" collapsed="false">
      <c r="A1053" s="1" t="s">
        <v>325</v>
      </c>
      <c r="B1053" s="1" t="s">
        <v>55</v>
      </c>
      <c r="C1053" s="1" t="s">
        <v>306</v>
      </c>
      <c r="D1053" s="1" t="n">
        <v>9</v>
      </c>
      <c r="E1053" s="1" t="n">
        <v>38</v>
      </c>
      <c r="F1053" s="1" t="s">
        <v>49</v>
      </c>
      <c r="G1053" s="1" t="s">
        <v>49</v>
      </c>
      <c r="H1053" s="1" t="n">
        <v>39</v>
      </c>
      <c r="I1053" s="1" t="n">
        <v>3813.03</v>
      </c>
      <c r="J1053" s="1" t="n">
        <v>300</v>
      </c>
    </row>
    <row r="1054" customFormat="false" ht="15" hidden="false" customHeight="true" outlineLevel="0" collapsed="false">
      <c r="A1054" s="1" t="s">
        <v>326</v>
      </c>
      <c r="B1054" s="1" t="s">
        <v>57</v>
      </c>
      <c r="C1054" s="1" t="s">
        <v>306</v>
      </c>
      <c r="D1054" s="1" t="n">
        <v>9</v>
      </c>
      <c r="E1054" s="1" t="n">
        <v>38</v>
      </c>
      <c r="F1054" s="1" t="s">
        <v>43</v>
      </c>
      <c r="G1054" s="1" t="s">
        <v>44</v>
      </c>
      <c r="H1054" s="1" t="n">
        <v>18</v>
      </c>
      <c r="I1054" s="1" t="n">
        <v>2401.02</v>
      </c>
      <c r="J1054" s="1" t="n">
        <v>300</v>
      </c>
    </row>
    <row r="1055" customFormat="false" ht="15" hidden="false" customHeight="true" outlineLevel="0" collapsed="false">
      <c r="A1055" s="1" t="s">
        <v>326</v>
      </c>
      <c r="B1055" s="1" t="s">
        <v>57</v>
      </c>
      <c r="C1055" s="1" t="s">
        <v>306</v>
      </c>
      <c r="D1055" s="1" t="n">
        <v>9</v>
      </c>
      <c r="E1055" s="1" t="n">
        <v>38</v>
      </c>
      <c r="F1055" s="1" t="s">
        <v>45</v>
      </c>
      <c r="G1055" s="1" t="s">
        <v>46</v>
      </c>
      <c r="H1055" s="1" t="n">
        <v>56</v>
      </c>
      <c r="I1055" s="1" t="n">
        <v>6222.72</v>
      </c>
      <c r="J1055" s="1" t="n">
        <v>300</v>
      </c>
    </row>
    <row r="1056" customFormat="false" ht="15" hidden="false" customHeight="true" outlineLevel="0" collapsed="false">
      <c r="A1056" s="1" t="s">
        <v>326</v>
      </c>
      <c r="B1056" s="1" t="s">
        <v>57</v>
      </c>
      <c r="C1056" s="1" t="s">
        <v>306</v>
      </c>
      <c r="D1056" s="1" t="n">
        <v>9</v>
      </c>
      <c r="E1056" s="1" t="n">
        <v>38</v>
      </c>
      <c r="F1056" s="1" t="s">
        <v>47</v>
      </c>
      <c r="G1056" s="1" t="s">
        <v>48</v>
      </c>
      <c r="H1056" s="1" t="n">
        <v>16</v>
      </c>
      <c r="I1056" s="1" t="n">
        <v>1637.76</v>
      </c>
      <c r="J1056" s="1" t="n">
        <v>300</v>
      </c>
    </row>
    <row r="1057" customFormat="false" ht="15" hidden="false" customHeight="true" outlineLevel="0" collapsed="false">
      <c r="A1057" s="1" t="s">
        <v>326</v>
      </c>
      <c r="B1057" s="1" t="s">
        <v>57</v>
      </c>
      <c r="C1057" s="1" t="s">
        <v>306</v>
      </c>
      <c r="D1057" s="1" t="n">
        <v>9</v>
      </c>
      <c r="E1057" s="1" t="n">
        <v>38</v>
      </c>
      <c r="F1057" s="1" t="s">
        <v>49</v>
      </c>
      <c r="G1057" s="1" t="s">
        <v>49</v>
      </c>
      <c r="H1057" s="1" t="n">
        <v>40</v>
      </c>
      <c r="I1057" s="1" t="n">
        <v>3627.6</v>
      </c>
      <c r="J1057" s="1" t="n">
        <v>300</v>
      </c>
    </row>
    <row r="1058" customFormat="false" ht="15" hidden="false" customHeight="true" outlineLevel="0" collapsed="false">
      <c r="A1058" s="1" t="s">
        <v>327</v>
      </c>
      <c r="B1058" s="1" t="s">
        <v>59</v>
      </c>
      <c r="C1058" s="1" t="s">
        <v>306</v>
      </c>
      <c r="D1058" s="1" t="n">
        <v>9</v>
      </c>
      <c r="E1058" s="1" t="n">
        <v>39</v>
      </c>
      <c r="F1058" s="1" t="s">
        <v>43</v>
      </c>
      <c r="G1058" s="1" t="s">
        <v>44</v>
      </c>
      <c r="H1058" s="1" t="n">
        <v>105</v>
      </c>
      <c r="I1058" s="1" t="n">
        <v>11982.6</v>
      </c>
      <c r="J1058" s="1" t="n">
        <v>300</v>
      </c>
    </row>
    <row r="1059" customFormat="false" ht="15" hidden="false" customHeight="true" outlineLevel="0" collapsed="false">
      <c r="A1059" s="1" t="s">
        <v>327</v>
      </c>
      <c r="B1059" s="1" t="s">
        <v>59</v>
      </c>
      <c r="C1059" s="1" t="s">
        <v>306</v>
      </c>
      <c r="D1059" s="1" t="n">
        <v>9</v>
      </c>
      <c r="E1059" s="1" t="n">
        <v>39</v>
      </c>
      <c r="F1059" s="1" t="s">
        <v>45</v>
      </c>
      <c r="G1059" s="1" t="s">
        <v>46</v>
      </c>
      <c r="H1059" s="1" t="n">
        <v>23</v>
      </c>
      <c r="I1059" s="1" t="n">
        <v>2385.56</v>
      </c>
      <c r="J1059" s="1" t="n">
        <v>300</v>
      </c>
    </row>
    <row r="1060" customFormat="false" ht="15" hidden="false" customHeight="true" outlineLevel="0" collapsed="false">
      <c r="A1060" s="1" t="s">
        <v>327</v>
      </c>
      <c r="B1060" s="1" t="s">
        <v>59</v>
      </c>
      <c r="C1060" s="1" t="s">
        <v>306</v>
      </c>
      <c r="D1060" s="1" t="n">
        <v>9</v>
      </c>
      <c r="E1060" s="1" t="n">
        <v>39</v>
      </c>
      <c r="F1060" s="1" t="s">
        <v>47</v>
      </c>
      <c r="G1060" s="1" t="s">
        <v>48</v>
      </c>
      <c r="H1060" s="1" t="n">
        <v>30</v>
      </c>
      <c r="I1060" s="1" t="n">
        <v>2786.7</v>
      </c>
      <c r="J1060" s="1" t="n">
        <v>300</v>
      </c>
    </row>
    <row r="1061" customFormat="false" ht="15" hidden="false" customHeight="true" outlineLevel="0" collapsed="false">
      <c r="A1061" s="1" t="s">
        <v>327</v>
      </c>
      <c r="B1061" s="1" t="s">
        <v>59</v>
      </c>
      <c r="C1061" s="1" t="s">
        <v>306</v>
      </c>
      <c r="D1061" s="1" t="n">
        <v>9</v>
      </c>
      <c r="E1061" s="1" t="n">
        <v>39</v>
      </c>
      <c r="F1061" s="1" t="s">
        <v>49</v>
      </c>
      <c r="G1061" s="1" t="s">
        <v>49</v>
      </c>
      <c r="H1061" s="1" t="n">
        <v>25</v>
      </c>
      <c r="I1061" s="1" t="n">
        <v>2263.25</v>
      </c>
      <c r="J1061" s="1" t="n">
        <v>300</v>
      </c>
    </row>
    <row r="1062" customFormat="false" ht="15" hidden="false" customHeight="true" outlineLevel="0" collapsed="false">
      <c r="A1062" s="1" t="s">
        <v>328</v>
      </c>
      <c r="B1062" s="1" t="s">
        <v>61</v>
      </c>
      <c r="C1062" s="1" t="s">
        <v>306</v>
      </c>
      <c r="D1062" s="1" t="n">
        <v>9</v>
      </c>
      <c r="E1062" s="1" t="n">
        <v>39</v>
      </c>
      <c r="F1062" s="1" t="s">
        <v>43</v>
      </c>
      <c r="G1062" s="1" t="s">
        <v>44</v>
      </c>
      <c r="H1062" s="1" t="n">
        <v>127</v>
      </c>
      <c r="I1062" s="1" t="n">
        <v>16146.78</v>
      </c>
      <c r="J1062" s="1" t="n">
        <v>300</v>
      </c>
    </row>
    <row r="1063" customFormat="false" ht="15" hidden="false" customHeight="true" outlineLevel="0" collapsed="false">
      <c r="A1063" s="1" t="s">
        <v>328</v>
      </c>
      <c r="B1063" s="1" t="s">
        <v>61</v>
      </c>
      <c r="C1063" s="1" t="s">
        <v>306</v>
      </c>
      <c r="D1063" s="1" t="n">
        <v>9</v>
      </c>
      <c r="E1063" s="1" t="n">
        <v>39</v>
      </c>
      <c r="F1063" s="1" t="s">
        <v>45</v>
      </c>
      <c r="G1063" s="1" t="s">
        <v>46</v>
      </c>
      <c r="H1063" s="1" t="n">
        <v>22</v>
      </c>
      <c r="I1063" s="1" t="n">
        <v>2317.26</v>
      </c>
      <c r="J1063" s="1" t="n">
        <v>300</v>
      </c>
    </row>
    <row r="1064" customFormat="false" ht="15" hidden="false" customHeight="true" outlineLevel="0" collapsed="false">
      <c r="A1064" s="1" t="s">
        <v>328</v>
      </c>
      <c r="B1064" s="1" t="s">
        <v>61</v>
      </c>
      <c r="C1064" s="1" t="s">
        <v>306</v>
      </c>
      <c r="D1064" s="1" t="n">
        <v>9</v>
      </c>
      <c r="E1064" s="1" t="n">
        <v>39</v>
      </c>
      <c r="F1064" s="1" t="s">
        <v>47</v>
      </c>
      <c r="G1064" s="1" t="s">
        <v>48</v>
      </c>
      <c r="H1064" s="1" t="n">
        <v>31</v>
      </c>
      <c r="I1064" s="1" t="n">
        <v>3162.93</v>
      </c>
      <c r="J1064" s="1" t="n">
        <v>300</v>
      </c>
    </row>
    <row r="1065" customFormat="false" ht="15" hidden="false" customHeight="true" outlineLevel="0" collapsed="false">
      <c r="A1065" s="1" t="s">
        <v>328</v>
      </c>
      <c r="B1065" s="1" t="s">
        <v>61</v>
      </c>
      <c r="C1065" s="1" t="s">
        <v>306</v>
      </c>
      <c r="D1065" s="1" t="n">
        <v>9</v>
      </c>
      <c r="E1065" s="1" t="n">
        <v>39</v>
      </c>
      <c r="F1065" s="1" t="s">
        <v>49</v>
      </c>
      <c r="G1065" s="1" t="s">
        <v>49</v>
      </c>
      <c r="H1065" s="1" t="n">
        <v>29</v>
      </c>
      <c r="I1065" s="1" t="n">
        <v>2833.3</v>
      </c>
      <c r="J1065" s="1" t="n">
        <v>300</v>
      </c>
    </row>
    <row r="1066" customFormat="false" ht="15" hidden="false" customHeight="true" outlineLevel="0" collapsed="false">
      <c r="A1066" s="1" t="s">
        <v>329</v>
      </c>
      <c r="B1066" s="1" t="s">
        <v>41</v>
      </c>
      <c r="C1066" s="1" t="s">
        <v>306</v>
      </c>
      <c r="D1066" s="1" t="n">
        <v>9</v>
      </c>
      <c r="E1066" s="1" t="n">
        <v>39</v>
      </c>
      <c r="F1066" s="1" t="s">
        <v>43</v>
      </c>
      <c r="G1066" s="1" t="s">
        <v>44</v>
      </c>
      <c r="H1066" s="1" t="n">
        <v>111</v>
      </c>
      <c r="I1066" s="1" t="n">
        <v>14058.15</v>
      </c>
      <c r="J1066" s="1" t="n">
        <v>300</v>
      </c>
    </row>
    <row r="1067" customFormat="false" ht="15" hidden="false" customHeight="true" outlineLevel="0" collapsed="false">
      <c r="A1067" s="1" t="s">
        <v>329</v>
      </c>
      <c r="B1067" s="1" t="s">
        <v>41</v>
      </c>
      <c r="C1067" s="1" t="s">
        <v>306</v>
      </c>
      <c r="D1067" s="1" t="n">
        <v>9</v>
      </c>
      <c r="E1067" s="1" t="n">
        <v>39</v>
      </c>
      <c r="F1067" s="1" t="s">
        <v>45</v>
      </c>
      <c r="G1067" s="1" t="s">
        <v>46</v>
      </c>
      <c r="H1067" s="1" t="n">
        <v>23</v>
      </c>
      <c r="I1067" s="1" t="n">
        <v>2464.22</v>
      </c>
      <c r="J1067" s="1" t="n">
        <v>300</v>
      </c>
    </row>
    <row r="1068" customFormat="false" ht="15" hidden="false" customHeight="true" outlineLevel="0" collapsed="false">
      <c r="A1068" s="1" t="s">
        <v>329</v>
      </c>
      <c r="B1068" s="1" t="s">
        <v>41</v>
      </c>
      <c r="C1068" s="1" t="s">
        <v>306</v>
      </c>
      <c r="D1068" s="1" t="n">
        <v>9</v>
      </c>
      <c r="E1068" s="1" t="n">
        <v>39</v>
      </c>
      <c r="F1068" s="1" t="s">
        <v>47</v>
      </c>
      <c r="G1068" s="1" t="s">
        <v>48</v>
      </c>
      <c r="H1068" s="1" t="n">
        <v>33</v>
      </c>
      <c r="I1068" s="1" t="n">
        <v>3375.57</v>
      </c>
      <c r="J1068" s="1" t="n">
        <v>300</v>
      </c>
    </row>
    <row r="1069" customFormat="false" ht="15" hidden="false" customHeight="true" outlineLevel="0" collapsed="false">
      <c r="A1069" s="1" t="s">
        <v>329</v>
      </c>
      <c r="B1069" s="1" t="s">
        <v>41</v>
      </c>
      <c r="C1069" s="1" t="s">
        <v>306</v>
      </c>
      <c r="D1069" s="1" t="n">
        <v>9</v>
      </c>
      <c r="E1069" s="1" t="n">
        <v>39</v>
      </c>
      <c r="F1069" s="1" t="s">
        <v>49</v>
      </c>
      <c r="G1069" s="1" t="s">
        <v>49</v>
      </c>
      <c r="H1069" s="1" t="n">
        <v>32</v>
      </c>
      <c r="I1069" s="1" t="n">
        <v>2829.76</v>
      </c>
      <c r="J1069" s="1" t="n">
        <v>300</v>
      </c>
    </row>
    <row r="1070" customFormat="false" ht="15" hidden="false" customHeight="true" outlineLevel="0" collapsed="false">
      <c r="A1070" s="1" t="s">
        <v>330</v>
      </c>
      <c r="B1070" s="1" t="s">
        <v>51</v>
      </c>
      <c r="C1070" s="1" t="s">
        <v>306</v>
      </c>
      <c r="D1070" s="1" t="n">
        <v>9</v>
      </c>
      <c r="E1070" s="1" t="n">
        <v>39</v>
      </c>
      <c r="F1070" s="1" t="s">
        <v>43</v>
      </c>
      <c r="G1070" s="1" t="s">
        <v>44</v>
      </c>
      <c r="H1070" s="1" t="n">
        <v>105</v>
      </c>
      <c r="I1070" s="1" t="n">
        <v>13934.55</v>
      </c>
      <c r="J1070" s="1" t="n">
        <v>300</v>
      </c>
    </row>
    <row r="1071" customFormat="false" ht="15" hidden="false" customHeight="true" outlineLevel="0" collapsed="false">
      <c r="A1071" s="1" t="s">
        <v>330</v>
      </c>
      <c r="B1071" s="1" t="s">
        <v>51</v>
      </c>
      <c r="C1071" s="1" t="s">
        <v>306</v>
      </c>
      <c r="D1071" s="1" t="n">
        <v>9</v>
      </c>
      <c r="E1071" s="1" t="n">
        <v>39</v>
      </c>
      <c r="F1071" s="1" t="s">
        <v>45</v>
      </c>
      <c r="G1071" s="1" t="s">
        <v>46</v>
      </c>
      <c r="H1071" s="1" t="n">
        <v>20</v>
      </c>
      <c r="I1071" s="1" t="n">
        <v>1951.8</v>
      </c>
      <c r="J1071" s="1" t="n">
        <v>300</v>
      </c>
    </row>
    <row r="1072" customFormat="false" ht="15" hidden="false" customHeight="true" outlineLevel="0" collapsed="false">
      <c r="A1072" s="1" t="s">
        <v>330</v>
      </c>
      <c r="B1072" s="1" t="s">
        <v>51</v>
      </c>
      <c r="C1072" s="1" t="s">
        <v>306</v>
      </c>
      <c r="D1072" s="1" t="n">
        <v>9</v>
      </c>
      <c r="E1072" s="1" t="n">
        <v>39</v>
      </c>
      <c r="F1072" s="1" t="s">
        <v>47</v>
      </c>
      <c r="G1072" s="1" t="s">
        <v>48</v>
      </c>
      <c r="H1072" s="1" t="n">
        <v>31</v>
      </c>
      <c r="I1072" s="1" t="n">
        <v>3071.79</v>
      </c>
      <c r="J1072" s="1" t="n">
        <v>300</v>
      </c>
    </row>
    <row r="1073" customFormat="false" ht="15" hidden="false" customHeight="true" outlineLevel="0" collapsed="false">
      <c r="A1073" s="1" t="s">
        <v>330</v>
      </c>
      <c r="B1073" s="1" t="s">
        <v>51</v>
      </c>
      <c r="C1073" s="1" t="s">
        <v>306</v>
      </c>
      <c r="D1073" s="1" t="n">
        <v>9</v>
      </c>
      <c r="E1073" s="1" t="n">
        <v>39</v>
      </c>
      <c r="F1073" s="1" t="s">
        <v>49</v>
      </c>
      <c r="G1073" s="1" t="s">
        <v>49</v>
      </c>
      <c r="H1073" s="1" t="n">
        <v>34</v>
      </c>
      <c r="I1073" s="1" t="n">
        <v>3159.28</v>
      </c>
      <c r="J1073" s="1" t="n">
        <v>300</v>
      </c>
    </row>
    <row r="1074" customFormat="false" ht="15" hidden="false" customHeight="true" outlineLevel="0" collapsed="false">
      <c r="A1074" s="1" t="s">
        <v>331</v>
      </c>
      <c r="B1074" s="1" t="s">
        <v>53</v>
      </c>
      <c r="C1074" s="1" t="s">
        <v>306</v>
      </c>
      <c r="D1074" s="1" t="n">
        <v>9</v>
      </c>
      <c r="E1074" s="1" t="n">
        <v>39</v>
      </c>
      <c r="F1074" s="1" t="s">
        <v>43</v>
      </c>
      <c r="G1074" s="1" t="s">
        <v>44</v>
      </c>
      <c r="H1074" s="1" t="n">
        <v>102</v>
      </c>
      <c r="I1074" s="1" t="n">
        <v>13492.56</v>
      </c>
      <c r="J1074" s="1" t="n">
        <v>300</v>
      </c>
    </row>
    <row r="1075" customFormat="false" ht="15" hidden="false" customHeight="true" outlineLevel="0" collapsed="false">
      <c r="A1075" s="1" t="s">
        <v>331</v>
      </c>
      <c r="B1075" s="1" t="s">
        <v>53</v>
      </c>
      <c r="C1075" s="1" t="s">
        <v>306</v>
      </c>
      <c r="D1075" s="1" t="n">
        <v>9</v>
      </c>
      <c r="E1075" s="1" t="n">
        <v>39</v>
      </c>
      <c r="F1075" s="1" t="s">
        <v>45</v>
      </c>
      <c r="G1075" s="1" t="s">
        <v>46</v>
      </c>
      <c r="H1075" s="1" t="n">
        <v>19</v>
      </c>
      <c r="I1075" s="1" t="n">
        <v>1932.3</v>
      </c>
      <c r="J1075" s="1" t="n">
        <v>300</v>
      </c>
    </row>
    <row r="1076" customFormat="false" ht="15" hidden="false" customHeight="true" outlineLevel="0" collapsed="false">
      <c r="A1076" s="1" t="s">
        <v>331</v>
      </c>
      <c r="B1076" s="1" t="s">
        <v>53</v>
      </c>
      <c r="C1076" s="1" t="s">
        <v>306</v>
      </c>
      <c r="D1076" s="1" t="n">
        <v>9</v>
      </c>
      <c r="E1076" s="1" t="n">
        <v>39</v>
      </c>
      <c r="F1076" s="1" t="s">
        <v>47</v>
      </c>
      <c r="G1076" s="1" t="s">
        <v>48</v>
      </c>
      <c r="H1076" s="1" t="n">
        <v>31</v>
      </c>
      <c r="I1076" s="1" t="n">
        <v>2760.55</v>
      </c>
      <c r="J1076" s="1" t="n">
        <v>300</v>
      </c>
    </row>
    <row r="1077" customFormat="false" ht="15" hidden="false" customHeight="true" outlineLevel="0" collapsed="false">
      <c r="A1077" s="1" t="s">
        <v>331</v>
      </c>
      <c r="B1077" s="1" t="s">
        <v>53</v>
      </c>
      <c r="C1077" s="1" t="s">
        <v>306</v>
      </c>
      <c r="D1077" s="1" t="n">
        <v>9</v>
      </c>
      <c r="E1077" s="1" t="n">
        <v>39</v>
      </c>
      <c r="F1077" s="1" t="s">
        <v>49</v>
      </c>
      <c r="G1077" s="1" t="s">
        <v>49</v>
      </c>
      <c r="H1077" s="1" t="n">
        <v>32</v>
      </c>
      <c r="I1077" s="1" t="n">
        <v>3222.72</v>
      </c>
      <c r="J1077" s="1" t="n">
        <v>300</v>
      </c>
    </row>
    <row r="1078" customFormat="false" ht="15" hidden="false" customHeight="true" outlineLevel="0" collapsed="false">
      <c r="A1078" s="1" t="s">
        <v>332</v>
      </c>
      <c r="B1078" s="1" t="s">
        <v>55</v>
      </c>
      <c r="C1078" s="1" t="s">
        <v>306</v>
      </c>
      <c r="D1078" s="1" t="n">
        <v>9</v>
      </c>
      <c r="E1078" s="1" t="n">
        <v>39</v>
      </c>
      <c r="F1078" s="1" t="s">
        <v>43</v>
      </c>
      <c r="G1078" s="1" t="s">
        <v>44</v>
      </c>
      <c r="H1078" s="1" t="n">
        <v>20</v>
      </c>
      <c r="I1078" s="1" t="n">
        <v>2462</v>
      </c>
      <c r="J1078" s="1" t="n">
        <v>300</v>
      </c>
    </row>
    <row r="1079" customFormat="false" ht="15" hidden="false" customHeight="true" outlineLevel="0" collapsed="false">
      <c r="A1079" s="1" t="s">
        <v>332</v>
      </c>
      <c r="B1079" s="1" t="s">
        <v>55</v>
      </c>
      <c r="C1079" s="1" t="s">
        <v>306</v>
      </c>
      <c r="D1079" s="1" t="n">
        <v>9</v>
      </c>
      <c r="E1079" s="1" t="n">
        <v>39</v>
      </c>
      <c r="F1079" s="1" t="s">
        <v>45</v>
      </c>
      <c r="G1079" s="1" t="s">
        <v>46</v>
      </c>
      <c r="H1079" s="1" t="n">
        <v>54</v>
      </c>
      <c r="I1079" s="1" t="n">
        <v>5565.24</v>
      </c>
      <c r="J1079" s="1" t="n">
        <v>300</v>
      </c>
    </row>
    <row r="1080" customFormat="false" ht="15" hidden="false" customHeight="true" outlineLevel="0" collapsed="false">
      <c r="A1080" s="1" t="s">
        <v>332</v>
      </c>
      <c r="B1080" s="1" t="s">
        <v>55</v>
      </c>
      <c r="C1080" s="1" t="s">
        <v>306</v>
      </c>
      <c r="D1080" s="1" t="n">
        <v>9</v>
      </c>
      <c r="E1080" s="1" t="n">
        <v>39</v>
      </c>
      <c r="F1080" s="1" t="s">
        <v>47</v>
      </c>
      <c r="G1080" s="1" t="s">
        <v>48</v>
      </c>
      <c r="H1080" s="1" t="n">
        <v>16</v>
      </c>
      <c r="I1080" s="1" t="n">
        <v>1550.4</v>
      </c>
      <c r="J1080" s="1" t="n">
        <v>300</v>
      </c>
    </row>
    <row r="1081" customFormat="false" ht="15" hidden="false" customHeight="true" outlineLevel="0" collapsed="false">
      <c r="A1081" s="1" t="s">
        <v>332</v>
      </c>
      <c r="B1081" s="1" t="s">
        <v>55</v>
      </c>
      <c r="C1081" s="1" t="s">
        <v>306</v>
      </c>
      <c r="D1081" s="1" t="n">
        <v>9</v>
      </c>
      <c r="E1081" s="1" t="n">
        <v>39</v>
      </c>
      <c r="F1081" s="1" t="s">
        <v>49</v>
      </c>
      <c r="G1081" s="1" t="s">
        <v>49</v>
      </c>
      <c r="H1081" s="1" t="n">
        <v>47</v>
      </c>
      <c r="I1081" s="1" t="n">
        <v>4448.55</v>
      </c>
      <c r="J1081" s="1" t="n">
        <v>300</v>
      </c>
    </row>
    <row r="1082" customFormat="false" ht="15" hidden="false" customHeight="true" outlineLevel="0" collapsed="false">
      <c r="A1082" s="1" t="s">
        <v>333</v>
      </c>
      <c r="B1082" s="1" t="s">
        <v>57</v>
      </c>
      <c r="C1082" s="1" t="s">
        <v>306</v>
      </c>
      <c r="D1082" s="1" t="n">
        <v>9</v>
      </c>
      <c r="E1082" s="1" t="n">
        <v>39</v>
      </c>
      <c r="F1082" s="1" t="s">
        <v>43</v>
      </c>
      <c r="G1082" s="1" t="s">
        <v>44</v>
      </c>
      <c r="H1082" s="1" t="n">
        <v>18</v>
      </c>
      <c r="I1082" s="1" t="n">
        <v>2217.96</v>
      </c>
      <c r="J1082" s="1" t="n">
        <v>300</v>
      </c>
    </row>
    <row r="1083" customFormat="false" ht="15" hidden="false" customHeight="true" outlineLevel="0" collapsed="false">
      <c r="A1083" s="1" t="s">
        <v>333</v>
      </c>
      <c r="B1083" s="1" t="s">
        <v>57</v>
      </c>
      <c r="C1083" s="1" t="s">
        <v>306</v>
      </c>
      <c r="D1083" s="1" t="n">
        <v>9</v>
      </c>
      <c r="E1083" s="1" t="n">
        <v>39</v>
      </c>
      <c r="F1083" s="1" t="s">
        <v>45</v>
      </c>
      <c r="G1083" s="1" t="s">
        <v>46</v>
      </c>
      <c r="H1083" s="1" t="n">
        <v>63</v>
      </c>
      <c r="I1083" s="1" t="n">
        <v>7203.42</v>
      </c>
      <c r="J1083" s="1" t="n">
        <v>300</v>
      </c>
    </row>
    <row r="1084" customFormat="false" ht="15" hidden="false" customHeight="true" outlineLevel="0" collapsed="false">
      <c r="A1084" s="1" t="s">
        <v>333</v>
      </c>
      <c r="B1084" s="1" t="s">
        <v>57</v>
      </c>
      <c r="C1084" s="1" t="s">
        <v>306</v>
      </c>
      <c r="D1084" s="1" t="n">
        <v>9</v>
      </c>
      <c r="E1084" s="1" t="n">
        <v>39</v>
      </c>
      <c r="F1084" s="1" t="s">
        <v>47</v>
      </c>
      <c r="G1084" s="1" t="s">
        <v>48</v>
      </c>
      <c r="H1084" s="1" t="n">
        <v>19</v>
      </c>
      <c r="I1084" s="1" t="n">
        <v>1762.63</v>
      </c>
      <c r="J1084" s="1" t="n">
        <v>300</v>
      </c>
    </row>
    <row r="1085" customFormat="false" ht="15" hidden="false" customHeight="true" outlineLevel="0" collapsed="false">
      <c r="A1085" s="1" t="s">
        <v>333</v>
      </c>
      <c r="B1085" s="1" t="s">
        <v>57</v>
      </c>
      <c r="C1085" s="1" t="s">
        <v>306</v>
      </c>
      <c r="D1085" s="1" t="n">
        <v>9</v>
      </c>
      <c r="E1085" s="1" t="n">
        <v>39</v>
      </c>
      <c r="F1085" s="1" t="s">
        <v>49</v>
      </c>
      <c r="G1085" s="1" t="s">
        <v>49</v>
      </c>
      <c r="H1085" s="1" t="n">
        <v>39</v>
      </c>
      <c r="I1085" s="1" t="n">
        <v>3302.13</v>
      </c>
      <c r="J1085" s="1" t="n">
        <v>300</v>
      </c>
    </row>
    <row r="1086" customFormat="false" ht="15" hidden="false" customHeight="true" outlineLevel="0" collapsed="false">
      <c r="A1086" s="1" t="s">
        <v>334</v>
      </c>
      <c r="B1086" s="1" t="s">
        <v>59</v>
      </c>
      <c r="C1086" s="1" t="s">
        <v>306</v>
      </c>
      <c r="D1086" s="1" t="n">
        <v>9</v>
      </c>
      <c r="E1086" s="1" t="n">
        <v>40</v>
      </c>
      <c r="F1086" s="1" t="s">
        <v>43</v>
      </c>
      <c r="G1086" s="1" t="s">
        <v>44</v>
      </c>
      <c r="H1086" s="1" t="n">
        <v>102</v>
      </c>
      <c r="I1086" s="1" t="n">
        <v>12731.64</v>
      </c>
      <c r="J1086" s="1" t="n">
        <v>300</v>
      </c>
    </row>
    <row r="1087" customFormat="false" ht="15" hidden="false" customHeight="true" outlineLevel="0" collapsed="false">
      <c r="A1087" s="1" t="s">
        <v>334</v>
      </c>
      <c r="B1087" s="1" t="s">
        <v>59</v>
      </c>
      <c r="C1087" s="1" t="s">
        <v>306</v>
      </c>
      <c r="D1087" s="1" t="n">
        <v>9</v>
      </c>
      <c r="E1087" s="1" t="n">
        <v>40</v>
      </c>
      <c r="F1087" s="1" t="s">
        <v>45</v>
      </c>
      <c r="G1087" s="1" t="s">
        <v>46</v>
      </c>
      <c r="H1087" s="1" t="n">
        <v>24</v>
      </c>
      <c r="I1087" s="1" t="n">
        <v>2556.72</v>
      </c>
      <c r="J1087" s="1" t="n">
        <v>300</v>
      </c>
    </row>
    <row r="1088" customFormat="false" ht="15" hidden="false" customHeight="true" outlineLevel="0" collapsed="false">
      <c r="A1088" s="1" t="s">
        <v>334</v>
      </c>
      <c r="B1088" s="1" t="s">
        <v>59</v>
      </c>
      <c r="C1088" s="1" t="s">
        <v>306</v>
      </c>
      <c r="D1088" s="1" t="n">
        <v>9</v>
      </c>
      <c r="E1088" s="1" t="n">
        <v>40</v>
      </c>
      <c r="F1088" s="1" t="s">
        <v>47</v>
      </c>
      <c r="G1088" s="1" t="s">
        <v>48</v>
      </c>
      <c r="H1088" s="1" t="n">
        <v>30</v>
      </c>
      <c r="I1088" s="1" t="n">
        <v>2990.4</v>
      </c>
      <c r="J1088" s="1" t="n">
        <v>300</v>
      </c>
    </row>
    <row r="1089" customFormat="false" ht="15" hidden="false" customHeight="true" outlineLevel="0" collapsed="false">
      <c r="A1089" s="1" t="s">
        <v>334</v>
      </c>
      <c r="B1089" s="1" t="s">
        <v>59</v>
      </c>
      <c r="C1089" s="1" t="s">
        <v>306</v>
      </c>
      <c r="D1089" s="1" t="n">
        <v>9</v>
      </c>
      <c r="E1089" s="1" t="n">
        <v>40</v>
      </c>
      <c r="F1089" s="1" t="s">
        <v>49</v>
      </c>
      <c r="G1089" s="1" t="s">
        <v>49</v>
      </c>
      <c r="H1089" s="1" t="n">
        <v>31</v>
      </c>
      <c r="I1089" s="1" t="n">
        <v>3194.86</v>
      </c>
      <c r="J1089" s="1" t="n">
        <v>300</v>
      </c>
    </row>
    <row r="1090" customFormat="false" ht="15" hidden="false" customHeight="true" outlineLevel="0" collapsed="false">
      <c r="A1090" s="1" t="s">
        <v>335</v>
      </c>
      <c r="B1090" s="1" t="s">
        <v>61</v>
      </c>
      <c r="C1090" s="1" t="s">
        <v>306</v>
      </c>
      <c r="D1090" s="1" t="n">
        <v>9</v>
      </c>
      <c r="E1090" s="1" t="n">
        <v>40</v>
      </c>
      <c r="F1090" s="1" t="s">
        <v>43</v>
      </c>
      <c r="G1090" s="1" t="s">
        <v>44</v>
      </c>
      <c r="H1090" s="1" t="n">
        <v>89</v>
      </c>
      <c r="I1090" s="1" t="n">
        <v>10926.53</v>
      </c>
      <c r="J1090" s="1" t="n">
        <v>300</v>
      </c>
    </row>
    <row r="1091" customFormat="false" ht="15" hidden="false" customHeight="true" outlineLevel="0" collapsed="false">
      <c r="A1091" s="1" t="s">
        <v>335</v>
      </c>
      <c r="B1091" s="1" t="s">
        <v>61</v>
      </c>
      <c r="C1091" s="1" t="s">
        <v>306</v>
      </c>
      <c r="D1091" s="1" t="n">
        <v>9</v>
      </c>
      <c r="E1091" s="1" t="n">
        <v>40</v>
      </c>
      <c r="F1091" s="1" t="s">
        <v>45</v>
      </c>
      <c r="G1091" s="1" t="s">
        <v>46</v>
      </c>
      <c r="H1091" s="1" t="n">
        <v>26</v>
      </c>
      <c r="I1091" s="1" t="n">
        <v>2783.56</v>
      </c>
      <c r="J1091" s="1" t="n">
        <v>300</v>
      </c>
    </row>
    <row r="1092" customFormat="false" ht="15" hidden="false" customHeight="true" outlineLevel="0" collapsed="false">
      <c r="A1092" s="1" t="s">
        <v>335</v>
      </c>
      <c r="B1092" s="1" t="s">
        <v>61</v>
      </c>
      <c r="C1092" s="1" t="s">
        <v>306</v>
      </c>
      <c r="D1092" s="1" t="n">
        <v>9</v>
      </c>
      <c r="E1092" s="1" t="n">
        <v>40</v>
      </c>
      <c r="F1092" s="1" t="s">
        <v>47</v>
      </c>
      <c r="G1092" s="1" t="s">
        <v>48</v>
      </c>
      <c r="H1092" s="1" t="n">
        <v>30</v>
      </c>
      <c r="I1092" s="1" t="n">
        <v>2900.1</v>
      </c>
      <c r="J1092" s="1" t="n">
        <v>300</v>
      </c>
    </row>
    <row r="1093" customFormat="false" ht="15" hidden="false" customHeight="true" outlineLevel="0" collapsed="false">
      <c r="A1093" s="1" t="s">
        <v>335</v>
      </c>
      <c r="B1093" s="1" t="s">
        <v>61</v>
      </c>
      <c r="C1093" s="1" t="s">
        <v>306</v>
      </c>
      <c r="D1093" s="1" t="n">
        <v>9</v>
      </c>
      <c r="E1093" s="1" t="n">
        <v>40</v>
      </c>
      <c r="F1093" s="1" t="s">
        <v>49</v>
      </c>
      <c r="G1093" s="1" t="s">
        <v>49</v>
      </c>
      <c r="H1093" s="1" t="n">
        <v>32</v>
      </c>
      <c r="I1093" s="1" t="n">
        <v>3172.16</v>
      </c>
      <c r="J1093" s="1" t="n">
        <v>300</v>
      </c>
    </row>
    <row r="1094" customFormat="false" ht="15" hidden="false" customHeight="true" outlineLevel="0" collapsed="false">
      <c r="A1094" s="1" t="s">
        <v>336</v>
      </c>
      <c r="B1094" s="1" t="s">
        <v>41</v>
      </c>
      <c r="C1094" s="1" t="s">
        <v>337</v>
      </c>
      <c r="D1094" s="1" t="n">
        <v>10</v>
      </c>
      <c r="E1094" s="1" t="n">
        <v>40</v>
      </c>
      <c r="F1094" s="1" t="s">
        <v>43</v>
      </c>
      <c r="G1094" s="1" t="s">
        <v>44</v>
      </c>
      <c r="H1094" s="1" t="n">
        <v>85</v>
      </c>
      <c r="I1094" s="1" t="n">
        <v>11331.35</v>
      </c>
      <c r="J1094" s="1" t="n">
        <v>300</v>
      </c>
    </row>
    <row r="1095" customFormat="false" ht="15" hidden="false" customHeight="true" outlineLevel="0" collapsed="false">
      <c r="A1095" s="1" t="s">
        <v>336</v>
      </c>
      <c r="B1095" s="1" t="s">
        <v>41</v>
      </c>
      <c r="C1095" s="1" t="s">
        <v>337</v>
      </c>
      <c r="D1095" s="1" t="n">
        <v>10</v>
      </c>
      <c r="E1095" s="1" t="n">
        <v>40</v>
      </c>
      <c r="F1095" s="1" t="s">
        <v>45</v>
      </c>
      <c r="G1095" s="1" t="s">
        <v>46</v>
      </c>
      <c r="H1095" s="1" t="n">
        <v>20</v>
      </c>
      <c r="I1095" s="1" t="n">
        <v>2117.6</v>
      </c>
      <c r="J1095" s="1" t="n">
        <v>300</v>
      </c>
    </row>
    <row r="1096" customFormat="false" ht="15" hidden="false" customHeight="true" outlineLevel="0" collapsed="false">
      <c r="A1096" s="1" t="s">
        <v>336</v>
      </c>
      <c r="B1096" s="1" t="s">
        <v>41</v>
      </c>
      <c r="C1096" s="1" t="s">
        <v>337</v>
      </c>
      <c r="D1096" s="1" t="n">
        <v>10</v>
      </c>
      <c r="E1096" s="1" t="n">
        <v>40</v>
      </c>
      <c r="F1096" s="1" t="s">
        <v>47</v>
      </c>
      <c r="G1096" s="1" t="s">
        <v>48</v>
      </c>
      <c r="H1096" s="1" t="n">
        <v>30</v>
      </c>
      <c r="I1096" s="1" t="n">
        <v>3084.9</v>
      </c>
      <c r="J1096" s="1" t="n">
        <v>300</v>
      </c>
    </row>
    <row r="1097" customFormat="false" ht="15" hidden="false" customHeight="true" outlineLevel="0" collapsed="false">
      <c r="A1097" s="1" t="s">
        <v>336</v>
      </c>
      <c r="B1097" s="1" t="s">
        <v>41</v>
      </c>
      <c r="C1097" s="1" t="s">
        <v>337</v>
      </c>
      <c r="D1097" s="1" t="n">
        <v>10</v>
      </c>
      <c r="E1097" s="1" t="n">
        <v>40</v>
      </c>
      <c r="F1097" s="1" t="s">
        <v>49</v>
      </c>
      <c r="G1097" s="1" t="s">
        <v>49</v>
      </c>
      <c r="H1097" s="1" t="n">
        <v>29</v>
      </c>
      <c r="I1097" s="1" t="n">
        <v>2744.27</v>
      </c>
      <c r="J1097" s="1" t="n">
        <v>300</v>
      </c>
    </row>
    <row r="1098" customFormat="false" ht="15" hidden="false" customHeight="true" outlineLevel="0" collapsed="false">
      <c r="A1098" s="1" t="s">
        <v>338</v>
      </c>
      <c r="B1098" s="1" t="s">
        <v>51</v>
      </c>
      <c r="C1098" s="1" t="s">
        <v>337</v>
      </c>
      <c r="D1098" s="1" t="n">
        <v>10</v>
      </c>
      <c r="E1098" s="1" t="n">
        <v>40</v>
      </c>
      <c r="F1098" s="1" t="s">
        <v>43</v>
      </c>
      <c r="G1098" s="1" t="s">
        <v>44</v>
      </c>
      <c r="H1098" s="1" t="n">
        <v>126</v>
      </c>
      <c r="I1098" s="1" t="n">
        <v>14124.6</v>
      </c>
      <c r="J1098" s="1" t="n">
        <v>300</v>
      </c>
    </row>
    <row r="1099" customFormat="false" ht="15" hidden="false" customHeight="true" outlineLevel="0" collapsed="false">
      <c r="A1099" s="1" t="s">
        <v>338</v>
      </c>
      <c r="B1099" s="1" t="s">
        <v>51</v>
      </c>
      <c r="C1099" s="1" t="s">
        <v>337</v>
      </c>
      <c r="D1099" s="1" t="n">
        <v>10</v>
      </c>
      <c r="E1099" s="1" t="n">
        <v>40</v>
      </c>
      <c r="F1099" s="1" t="s">
        <v>45</v>
      </c>
      <c r="G1099" s="1" t="s">
        <v>46</v>
      </c>
      <c r="H1099" s="1" t="n">
        <v>23</v>
      </c>
      <c r="I1099" s="1" t="n">
        <v>2376.36</v>
      </c>
      <c r="J1099" s="1" t="n">
        <v>300</v>
      </c>
    </row>
    <row r="1100" customFormat="false" ht="15" hidden="false" customHeight="true" outlineLevel="0" collapsed="false">
      <c r="A1100" s="1" t="s">
        <v>338</v>
      </c>
      <c r="B1100" s="1" t="s">
        <v>51</v>
      </c>
      <c r="C1100" s="1" t="s">
        <v>337</v>
      </c>
      <c r="D1100" s="1" t="n">
        <v>10</v>
      </c>
      <c r="E1100" s="1" t="n">
        <v>40</v>
      </c>
      <c r="F1100" s="1" t="s">
        <v>47</v>
      </c>
      <c r="G1100" s="1" t="s">
        <v>48</v>
      </c>
      <c r="H1100" s="1" t="n">
        <v>33</v>
      </c>
      <c r="I1100" s="1" t="n">
        <v>3281.19</v>
      </c>
      <c r="J1100" s="1" t="n">
        <v>300</v>
      </c>
    </row>
    <row r="1101" customFormat="false" ht="15" hidden="false" customHeight="true" outlineLevel="0" collapsed="false">
      <c r="A1101" s="1" t="s">
        <v>338</v>
      </c>
      <c r="B1101" s="1" t="s">
        <v>51</v>
      </c>
      <c r="C1101" s="1" t="s">
        <v>337</v>
      </c>
      <c r="D1101" s="1" t="n">
        <v>10</v>
      </c>
      <c r="E1101" s="1" t="n">
        <v>40</v>
      </c>
      <c r="F1101" s="1" t="s">
        <v>49</v>
      </c>
      <c r="G1101" s="1" t="s">
        <v>49</v>
      </c>
      <c r="H1101" s="1" t="n">
        <v>32</v>
      </c>
      <c r="I1101" s="1" t="n">
        <v>3032.64</v>
      </c>
      <c r="J1101" s="1" t="n">
        <v>300</v>
      </c>
    </row>
    <row r="1102" customFormat="false" ht="15" hidden="false" customHeight="true" outlineLevel="0" collapsed="false">
      <c r="A1102" s="1" t="s">
        <v>339</v>
      </c>
      <c r="B1102" s="1" t="s">
        <v>53</v>
      </c>
      <c r="C1102" s="1" t="s">
        <v>337</v>
      </c>
      <c r="D1102" s="1" t="n">
        <v>10</v>
      </c>
      <c r="E1102" s="1" t="n">
        <v>40</v>
      </c>
      <c r="F1102" s="1" t="s">
        <v>43</v>
      </c>
      <c r="G1102" s="1" t="s">
        <v>44</v>
      </c>
      <c r="H1102" s="1" t="n">
        <v>124</v>
      </c>
      <c r="I1102" s="1" t="n">
        <v>14964.32</v>
      </c>
      <c r="J1102" s="1" t="n">
        <v>300</v>
      </c>
    </row>
    <row r="1103" customFormat="false" ht="15" hidden="false" customHeight="true" outlineLevel="0" collapsed="false">
      <c r="A1103" s="1" t="s">
        <v>339</v>
      </c>
      <c r="B1103" s="1" t="s">
        <v>53</v>
      </c>
      <c r="C1103" s="1" t="s">
        <v>337</v>
      </c>
      <c r="D1103" s="1" t="n">
        <v>10</v>
      </c>
      <c r="E1103" s="1" t="n">
        <v>40</v>
      </c>
      <c r="F1103" s="1" t="s">
        <v>45</v>
      </c>
      <c r="G1103" s="1" t="s">
        <v>46</v>
      </c>
      <c r="H1103" s="1" t="n">
        <v>24</v>
      </c>
      <c r="I1103" s="1" t="n">
        <v>2382</v>
      </c>
      <c r="J1103" s="1" t="n">
        <v>300</v>
      </c>
    </row>
    <row r="1104" customFormat="false" ht="15" hidden="false" customHeight="true" outlineLevel="0" collapsed="false">
      <c r="A1104" s="1" t="s">
        <v>339</v>
      </c>
      <c r="B1104" s="1" t="s">
        <v>53</v>
      </c>
      <c r="C1104" s="1" t="s">
        <v>337</v>
      </c>
      <c r="D1104" s="1" t="n">
        <v>10</v>
      </c>
      <c r="E1104" s="1" t="n">
        <v>40</v>
      </c>
      <c r="F1104" s="1" t="s">
        <v>47</v>
      </c>
      <c r="G1104" s="1" t="s">
        <v>48</v>
      </c>
      <c r="H1104" s="1" t="n">
        <v>29</v>
      </c>
      <c r="I1104" s="1" t="n">
        <v>2962.06</v>
      </c>
      <c r="J1104" s="1" t="n">
        <v>300</v>
      </c>
    </row>
    <row r="1105" customFormat="false" ht="15" hidden="false" customHeight="true" outlineLevel="0" collapsed="false">
      <c r="A1105" s="1" t="s">
        <v>339</v>
      </c>
      <c r="B1105" s="1" t="s">
        <v>53</v>
      </c>
      <c r="C1105" s="1" t="s">
        <v>337</v>
      </c>
      <c r="D1105" s="1" t="n">
        <v>10</v>
      </c>
      <c r="E1105" s="1" t="n">
        <v>40</v>
      </c>
      <c r="F1105" s="1" t="s">
        <v>49</v>
      </c>
      <c r="G1105" s="1" t="s">
        <v>49</v>
      </c>
      <c r="H1105" s="1" t="n">
        <v>38</v>
      </c>
      <c r="I1105" s="1" t="n">
        <v>3573.52</v>
      </c>
      <c r="J1105" s="1" t="n">
        <v>300</v>
      </c>
    </row>
    <row r="1106" customFormat="false" ht="15" hidden="false" customHeight="true" outlineLevel="0" collapsed="false">
      <c r="A1106" s="1" t="s">
        <v>340</v>
      </c>
      <c r="B1106" s="1" t="s">
        <v>55</v>
      </c>
      <c r="C1106" s="1" t="s">
        <v>337</v>
      </c>
      <c r="D1106" s="1" t="n">
        <v>10</v>
      </c>
      <c r="E1106" s="1" t="n">
        <v>40</v>
      </c>
      <c r="F1106" s="1" t="s">
        <v>43</v>
      </c>
      <c r="G1106" s="1" t="s">
        <v>44</v>
      </c>
      <c r="H1106" s="1" t="n">
        <v>20</v>
      </c>
      <c r="I1106" s="1" t="n">
        <v>2441.6</v>
      </c>
      <c r="J1106" s="1" t="n">
        <v>300</v>
      </c>
    </row>
    <row r="1107" customFormat="false" ht="15" hidden="false" customHeight="true" outlineLevel="0" collapsed="false">
      <c r="A1107" s="1" t="s">
        <v>340</v>
      </c>
      <c r="B1107" s="1" t="s">
        <v>55</v>
      </c>
      <c r="C1107" s="1" t="s">
        <v>337</v>
      </c>
      <c r="D1107" s="1" t="n">
        <v>10</v>
      </c>
      <c r="E1107" s="1" t="n">
        <v>40</v>
      </c>
      <c r="F1107" s="1" t="s">
        <v>45</v>
      </c>
      <c r="G1107" s="1" t="s">
        <v>46</v>
      </c>
      <c r="H1107" s="1" t="n">
        <v>55</v>
      </c>
      <c r="I1107" s="1" t="n">
        <v>6132.5</v>
      </c>
      <c r="J1107" s="1" t="n">
        <v>300</v>
      </c>
    </row>
    <row r="1108" customFormat="false" ht="15" hidden="false" customHeight="true" outlineLevel="0" collapsed="false">
      <c r="A1108" s="1" t="s">
        <v>340</v>
      </c>
      <c r="B1108" s="1" t="s">
        <v>55</v>
      </c>
      <c r="C1108" s="1" t="s">
        <v>337</v>
      </c>
      <c r="D1108" s="1" t="n">
        <v>10</v>
      </c>
      <c r="E1108" s="1" t="n">
        <v>40</v>
      </c>
      <c r="F1108" s="1" t="s">
        <v>47</v>
      </c>
      <c r="G1108" s="1" t="s">
        <v>48</v>
      </c>
      <c r="H1108" s="1" t="n">
        <v>18</v>
      </c>
      <c r="I1108" s="1" t="n">
        <v>1739.34</v>
      </c>
      <c r="J1108" s="1" t="n">
        <v>300</v>
      </c>
    </row>
    <row r="1109" customFormat="false" ht="15" hidden="false" customHeight="true" outlineLevel="0" collapsed="false">
      <c r="A1109" s="1" t="s">
        <v>340</v>
      </c>
      <c r="B1109" s="1" t="s">
        <v>55</v>
      </c>
      <c r="C1109" s="1" t="s">
        <v>337</v>
      </c>
      <c r="D1109" s="1" t="n">
        <v>10</v>
      </c>
      <c r="E1109" s="1" t="n">
        <v>40</v>
      </c>
      <c r="F1109" s="1" t="s">
        <v>49</v>
      </c>
      <c r="G1109" s="1" t="s">
        <v>49</v>
      </c>
      <c r="H1109" s="1" t="n">
        <v>41</v>
      </c>
      <c r="I1109" s="1" t="n">
        <v>3835.55</v>
      </c>
      <c r="J1109" s="1" t="n">
        <v>300</v>
      </c>
    </row>
    <row r="1110" customFormat="false" ht="15" hidden="false" customHeight="true" outlineLevel="0" collapsed="false">
      <c r="A1110" s="1" t="s">
        <v>341</v>
      </c>
      <c r="B1110" s="1" t="s">
        <v>57</v>
      </c>
      <c r="C1110" s="1" t="s">
        <v>337</v>
      </c>
      <c r="D1110" s="1" t="n">
        <v>10</v>
      </c>
      <c r="E1110" s="1" t="n">
        <v>40</v>
      </c>
      <c r="F1110" s="1" t="s">
        <v>43</v>
      </c>
      <c r="G1110" s="1" t="s">
        <v>44</v>
      </c>
      <c r="H1110" s="1" t="n">
        <v>19</v>
      </c>
      <c r="I1110" s="1" t="n">
        <v>2310.4</v>
      </c>
      <c r="J1110" s="1" t="n">
        <v>300</v>
      </c>
    </row>
    <row r="1111" customFormat="false" ht="15" hidden="false" customHeight="true" outlineLevel="0" collapsed="false">
      <c r="A1111" s="1" t="s">
        <v>341</v>
      </c>
      <c r="B1111" s="1" t="s">
        <v>57</v>
      </c>
      <c r="C1111" s="1" t="s">
        <v>337</v>
      </c>
      <c r="D1111" s="1" t="n">
        <v>10</v>
      </c>
      <c r="E1111" s="1" t="n">
        <v>40</v>
      </c>
      <c r="F1111" s="1" t="s">
        <v>45</v>
      </c>
      <c r="G1111" s="1" t="s">
        <v>46</v>
      </c>
      <c r="H1111" s="1" t="n">
        <v>73</v>
      </c>
      <c r="I1111" s="1" t="n">
        <v>7738</v>
      </c>
      <c r="J1111" s="1" t="n">
        <v>300</v>
      </c>
    </row>
    <row r="1112" customFormat="false" ht="15" hidden="false" customHeight="true" outlineLevel="0" collapsed="false">
      <c r="A1112" s="1" t="s">
        <v>341</v>
      </c>
      <c r="B1112" s="1" t="s">
        <v>57</v>
      </c>
      <c r="C1112" s="1" t="s">
        <v>337</v>
      </c>
      <c r="D1112" s="1" t="n">
        <v>10</v>
      </c>
      <c r="E1112" s="1" t="n">
        <v>40</v>
      </c>
      <c r="F1112" s="1" t="s">
        <v>47</v>
      </c>
      <c r="G1112" s="1" t="s">
        <v>48</v>
      </c>
      <c r="H1112" s="1" t="n">
        <v>16</v>
      </c>
      <c r="I1112" s="1" t="n">
        <v>1527.36</v>
      </c>
      <c r="J1112" s="1" t="n">
        <v>300</v>
      </c>
    </row>
    <row r="1113" customFormat="false" ht="15" hidden="false" customHeight="true" outlineLevel="0" collapsed="false">
      <c r="A1113" s="1" t="s">
        <v>341</v>
      </c>
      <c r="B1113" s="1" t="s">
        <v>57</v>
      </c>
      <c r="C1113" s="1" t="s">
        <v>337</v>
      </c>
      <c r="D1113" s="1" t="n">
        <v>10</v>
      </c>
      <c r="E1113" s="1" t="n">
        <v>40</v>
      </c>
      <c r="F1113" s="1" t="s">
        <v>49</v>
      </c>
      <c r="G1113" s="1" t="s">
        <v>49</v>
      </c>
      <c r="H1113" s="1" t="n">
        <v>45</v>
      </c>
      <c r="I1113" s="1" t="n">
        <v>4098.6</v>
      </c>
      <c r="J1113" s="1" t="n">
        <v>300</v>
      </c>
    </row>
    <row r="1114" customFormat="false" ht="15" hidden="false" customHeight="true" outlineLevel="0" collapsed="false">
      <c r="A1114" s="1" t="s">
        <v>342</v>
      </c>
      <c r="B1114" s="1" t="s">
        <v>59</v>
      </c>
      <c r="C1114" s="1" t="s">
        <v>337</v>
      </c>
      <c r="D1114" s="1" t="n">
        <v>10</v>
      </c>
      <c r="E1114" s="1" t="n">
        <v>41</v>
      </c>
      <c r="F1114" s="1" t="s">
        <v>43</v>
      </c>
      <c r="G1114" s="1" t="s">
        <v>44</v>
      </c>
      <c r="H1114" s="1" t="n">
        <v>100</v>
      </c>
      <c r="I1114" s="1" t="n">
        <v>13176</v>
      </c>
      <c r="J1114" s="1" t="n">
        <v>300</v>
      </c>
    </row>
    <row r="1115" customFormat="false" ht="15" hidden="false" customHeight="true" outlineLevel="0" collapsed="false">
      <c r="A1115" s="1" t="s">
        <v>342</v>
      </c>
      <c r="B1115" s="1" t="s">
        <v>59</v>
      </c>
      <c r="C1115" s="1" t="s">
        <v>337</v>
      </c>
      <c r="D1115" s="1" t="n">
        <v>10</v>
      </c>
      <c r="E1115" s="1" t="n">
        <v>41</v>
      </c>
      <c r="F1115" s="1" t="s">
        <v>45</v>
      </c>
      <c r="G1115" s="1" t="s">
        <v>46</v>
      </c>
      <c r="H1115" s="1" t="n">
        <v>25</v>
      </c>
      <c r="I1115" s="1" t="n">
        <v>2593</v>
      </c>
      <c r="J1115" s="1" t="n">
        <v>300</v>
      </c>
    </row>
    <row r="1116" customFormat="false" ht="15" hidden="false" customHeight="true" outlineLevel="0" collapsed="false">
      <c r="A1116" s="1" t="s">
        <v>342</v>
      </c>
      <c r="B1116" s="1" t="s">
        <v>59</v>
      </c>
      <c r="C1116" s="1" t="s">
        <v>337</v>
      </c>
      <c r="D1116" s="1" t="n">
        <v>10</v>
      </c>
      <c r="E1116" s="1" t="n">
        <v>41</v>
      </c>
      <c r="F1116" s="1" t="s">
        <v>47</v>
      </c>
      <c r="G1116" s="1" t="s">
        <v>48</v>
      </c>
      <c r="H1116" s="1" t="n">
        <v>26</v>
      </c>
      <c r="I1116" s="1" t="n">
        <v>2738.32</v>
      </c>
      <c r="J1116" s="1" t="n">
        <v>300</v>
      </c>
    </row>
    <row r="1117" customFormat="false" ht="15" hidden="false" customHeight="true" outlineLevel="0" collapsed="false">
      <c r="A1117" s="1" t="s">
        <v>342</v>
      </c>
      <c r="B1117" s="1" t="s">
        <v>59</v>
      </c>
      <c r="C1117" s="1" t="s">
        <v>337</v>
      </c>
      <c r="D1117" s="1" t="n">
        <v>10</v>
      </c>
      <c r="E1117" s="1" t="n">
        <v>41</v>
      </c>
      <c r="F1117" s="1" t="s">
        <v>49</v>
      </c>
      <c r="G1117" s="1" t="s">
        <v>49</v>
      </c>
      <c r="H1117" s="1" t="n">
        <v>32</v>
      </c>
      <c r="I1117" s="1" t="n">
        <v>3086.4</v>
      </c>
      <c r="J1117" s="1" t="n">
        <v>300</v>
      </c>
    </row>
    <row r="1118" customFormat="false" ht="15" hidden="false" customHeight="true" outlineLevel="0" collapsed="false">
      <c r="A1118" s="1" t="s">
        <v>343</v>
      </c>
      <c r="B1118" s="1" t="s">
        <v>61</v>
      </c>
      <c r="C1118" s="1" t="s">
        <v>337</v>
      </c>
      <c r="D1118" s="1" t="n">
        <v>10</v>
      </c>
      <c r="E1118" s="1" t="n">
        <v>41</v>
      </c>
      <c r="F1118" s="1" t="s">
        <v>43</v>
      </c>
      <c r="G1118" s="1" t="s">
        <v>44</v>
      </c>
      <c r="H1118" s="1" t="n">
        <v>88</v>
      </c>
      <c r="I1118" s="1" t="n">
        <v>11318.56</v>
      </c>
      <c r="J1118" s="1" t="n">
        <v>300</v>
      </c>
    </row>
    <row r="1119" customFormat="false" ht="15" hidden="false" customHeight="true" outlineLevel="0" collapsed="false">
      <c r="A1119" s="1" t="s">
        <v>343</v>
      </c>
      <c r="B1119" s="1" t="s">
        <v>61</v>
      </c>
      <c r="C1119" s="1" t="s">
        <v>337</v>
      </c>
      <c r="D1119" s="1" t="n">
        <v>10</v>
      </c>
      <c r="E1119" s="1" t="n">
        <v>41</v>
      </c>
      <c r="F1119" s="1" t="s">
        <v>45</v>
      </c>
      <c r="G1119" s="1" t="s">
        <v>46</v>
      </c>
      <c r="H1119" s="1" t="n">
        <v>20</v>
      </c>
      <c r="I1119" s="1" t="n">
        <v>2246.2</v>
      </c>
      <c r="J1119" s="1" t="n">
        <v>300</v>
      </c>
    </row>
    <row r="1120" customFormat="false" ht="15" hidden="false" customHeight="true" outlineLevel="0" collapsed="false">
      <c r="A1120" s="1" t="s">
        <v>343</v>
      </c>
      <c r="B1120" s="1" t="s">
        <v>61</v>
      </c>
      <c r="C1120" s="1" t="s">
        <v>337</v>
      </c>
      <c r="D1120" s="1" t="n">
        <v>10</v>
      </c>
      <c r="E1120" s="1" t="n">
        <v>41</v>
      </c>
      <c r="F1120" s="1" t="s">
        <v>47</v>
      </c>
      <c r="G1120" s="1" t="s">
        <v>48</v>
      </c>
      <c r="H1120" s="1" t="n">
        <v>31</v>
      </c>
      <c r="I1120" s="1" t="n">
        <v>2902.84</v>
      </c>
      <c r="J1120" s="1" t="n">
        <v>300</v>
      </c>
    </row>
    <row r="1121" customFormat="false" ht="15" hidden="false" customHeight="true" outlineLevel="0" collapsed="false">
      <c r="A1121" s="1" t="s">
        <v>343</v>
      </c>
      <c r="B1121" s="1" t="s">
        <v>61</v>
      </c>
      <c r="C1121" s="1" t="s">
        <v>337</v>
      </c>
      <c r="D1121" s="1" t="n">
        <v>10</v>
      </c>
      <c r="E1121" s="1" t="n">
        <v>41</v>
      </c>
      <c r="F1121" s="1" t="s">
        <v>49</v>
      </c>
      <c r="G1121" s="1" t="s">
        <v>49</v>
      </c>
      <c r="H1121" s="1" t="n">
        <v>32</v>
      </c>
      <c r="I1121" s="1" t="n">
        <v>3067.84</v>
      </c>
      <c r="J1121" s="1" t="n">
        <v>300</v>
      </c>
    </row>
    <row r="1122" customFormat="false" ht="15" hidden="false" customHeight="true" outlineLevel="0" collapsed="false">
      <c r="A1122" s="1" t="s">
        <v>344</v>
      </c>
      <c r="B1122" s="1" t="s">
        <v>41</v>
      </c>
      <c r="C1122" s="1" t="s">
        <v>337</v>
      </c>
      <c r="D1122" s="1" t="n">
        <v>10</v>
      </c>
      <c r="E1122" s="1" t="n">
        <v>41</v>
      </c>
      <c r="F1122" s="1" t="s">
        <v>43</v>
      </c>
      <c r="G1122" s="1" t="s">
        <v>44</v>
      </c>
      <c r="H1122" s="1" t="n">
        <v>107</v>
      </c>
      <c r="I1122" s="1" t="n">
        <v>13520.52</v>
      </c>
      <c r="J1122" s="1" t="n">
        <v>300</v>
      </c>
    </row>
    <row r="1123" customFormat="false" ht="15" hidden="false" customHeight="true" outlineLevel="0" collapsed="false">
      <c r="A1123" s="1" t="s">
        <v>344</v>
      </c>
      <c r="B1123" s="1" t="s">
        <v>41</v>
      </c>
      <c r="C1123" s="1" t="s">
        <v>337</v>
      </c>
      <c r="D1123" s="1" t="n">
        <v>10</v>
      </c>
      <c r="E1123" s="1" t="n">
        <v>41</v>
      </c>
      <c r="F1123" s="1" t="s">
        <v>45</v>
      </c>
      <c r="G1123" s="1" t="s">
        <v>46</v>
      </c>
      <c r="H1123" s="1" t="n">
        <v>26</v>
      </c>
      <c r="I1123" s="1" t="n">
        <v>2535</v>
      </c>
      <c r="J1123" s="1" t="n">
        <v>300</v>
      </c>
    </row>
    <row r="1124" customFormat="false" ht="15" hidden="false" customHeight="true" outlineLevel="0" collapsed="false">
      <c r="A1124" s="1" t="s">
        <v>344</v>
      </c>
      <c r="B1124" s="1" t="s">
        <v>41</v>
      </c>
      <c r="C1124" s="1" t="s">
        <v>337</v>
      </c>
      <c r="D1124" s="1" t="n">
        <v>10</v>
      </c>
      <c r="E1124" s="1" t="n">
        <v>41</v>
      </c>
      <c r="F1124" s="1" t="s">
        <v>47</v>
      </c>
      <c r="G1124" s="1" t="s">
        <v>48</v>
      </c>
      <c r="H1124" s="1" t="n">
        <v>36</v>
      </c>
      <c r="I1124" s="1" t="n">
        <v>3597.84</v>
      </c>
      <c r="J1124" s="1" t="n">
        <v>300</v>
      </c>
    </row>
    <row r="1125" customFormat="false" ht="15" hidden="false" customHeight="true" outlineLevel="0" collapsed="false">
      <c r="A1125" s="1" t="s">
        <v>344</v>
      </c>
      <c r="B1125" s="1" t="s">
        <v>41</v>
      </c>
      <c r="C1125" s="1" t="s">
        <v>337</v>
      </c>
      <c r="D1125" s="1" t="n">
        <v>10</v>
      </c>
      <c r="E1125" s="1" t="n">
        <v>41</v>
      </c>
      <c r="F1125" s="1" t="s">
        <v>49</v>
      </c>
      <c r="G1125" s="1" t="s">
        <v>49</v>
      </c>
      <c r="H1125" s="1" t="n">
        <v>31</v>
      </c>
      <c r="I1125" s="1" t="n">
        <v>2626.63</v>
      </c>
      <c r="J1125" s="1" t="n">
        <v>300</v>
      </c>
    </row>
    <row r="1126" customFormat="false" ht="15" hidden="false" customHeight="true" outlineLevel="0" collapsed="false">
      <c r="A1126" s="1" t="s">
        <v>345</v>
      </c>
      <c r="B1126" s="1" t="s">
        <v>51</v>
      </c>
      <c r="C1126" s="1" t="s">
        <v>337</v>
      </c>
      <c r="D1126" s="1" t="n">
        <v>10</v>
      </c>
      <c r="E1126" s="1" t="n">
        <v>41</v>
      </c>
      <c r="F1126" s="1" t="s">
        <v>43</v>
      </c>
      <c r="G1126" s="1" t="s">
        <v>44</v>
      </c>
      <c r="H1126" s="1" t="n">
        <v>105</v>
      </c>
      <c r="I1126" s="1" t="n">
        <v>13527.15</v>
      </c>
      <c r="J1126" s="1" t="n">
        <v>300</v>
      </c>
    </row>
    <row r="1127" customFormat="false" ht="15" hidden="false" customHeight="true" outlineLevel="0" collapsed="false">
      <c r="A1127" s="1" t="s">
        <v>345</v>
      </c>
      <c r="B1127" s="1" t="s">
        <v>51</v>
      </c>
      <c r="C1127" s="1" t="s">
        <v>337</v>
      </c>
      <c r="D1127" s="1" t="n">
        <v>10</v>
      </c>
      <c r="E1127" s="1" t="n">
        <v>41</v>
      </c>
      <c r="F1127" s="1" t="s">
        <v>45</v>
      </c>
      <c r="G1127" s="1" t="s">
        <v>46</v>
      </c>
      <c r="H1127" s="1" t="n">
        <v>22</v>
      </c>
      <c r="I1127" s="1" t="n">
        <v>2581.7</v>
      </c>
      <c r="J1127" s="1" t="n">
        <v>300</v>
      </c>
    </row>
    <row r="1128" customFormat="false" ht="15" hidden="false" customHeight="true" outlineLevel="0" collapsed="false">
      <c r="A1128" s="1" t="s">
        <v>345</v>
      </c>
      <c r="B1128" s="1" t="s">
        <v>51</v>
      </c>
      <c r="C1128" s="1" t="s">
        <v>337</v>
      </c>
      <c r="D1128" s="1" t="n">
        <v>10</v>
      </c>
      <c r="E1128" s="1" t="n">
        <v>41</v>
      </c>
      <c r="F1128" s="1" t="s">
        <v>47</v>
      </c>
      <c r="G1128" s="1" t="s">
        <v>48</v>
      </c>
      <c r="H1128" s="1" t="n">
        <v>27</v>
      </c>
      <c r="I1128" s="1" t="n">
        <v>2679.75</v>
      </c>
      <c r="J1128" s="1" t="n">
        <v>300</v>
      </c>
    </row>
    <row r="1129" customFormat="false" ht="15" hidden="false" customHeight="true" outlineLevel="0" collapsed="false">
      <c r="A1129" s="1" t="s">
        <v>345</v>
      </c>
      <c r="B1129" s="1" t="s">
        <v>51</v>
      </c>
      <c r="C1129" s="1" t="s">
        <v>337</v>
      </c>
      <c r="D1129" s="1" t="n">
        <v>10</v>
      </c>
      <c r="E1129" s="1" t="n">
        <v>41</v>
      </c>
      <c r="F1129" s="1" t="s">
        <v>49</v>
      </c>
      <c r="G1129" s="1" t="s">
        <v>49</v>
      </c>
      <c r="H1129" s="1" t="n">
        <v>30</v>
      </c>
      <c r="I1129" s="1" t="n">
        <v>2822.7</v>
      </c>
      <c r="J1129" s="1" t="n">
        <v>300</v>
      </c>
    </row>
    <row r="1130" customFormat="false" ht="15" hidden="false" customHeight="true" outlineLevel="0" collapsed="false">
      <c r="A1130" s="1" t="s">
        <v>346</v>
      </c>
      <c r="B1130" s="1" t="s">
        <v>53</v>
      </c>
      <c r="C1130" s="1" t="s">
        <v>337</v>
      </c>
      <c r="D1130" s="1" t="n">
        <v>10</v>
      </c>
      <c r="E1130" s="1" t="n">
        <v>41</v>
      </c>
      <c r="F1130" s="1" t="s">
        <v>43</v>
      </c>
      <c r="G1130" s="1" t="s">
        <v>44</v>
      </c>
      <c r="H1130" s="1" t="n">
        <v>115</v>
      </c>
      <c r="I1130" s="1" t="n">
        <v>13685</v>
      </c>
      <c r="J1130" s="1" t="n">
        <v>300</v>
      </c>
    </row>
    <row r="1131" customFormat="false" ht="15" hidden="false" customHeight="true" outlineLevel="0" collapsed="false">
      <c r="A1131" s="1" t="s">
        <v>346</v>
      </c>
      <c r="B1131" s="1" t="s">
        <v>53</v>
      </c>
      <c r="C1131" s="1" t="s">
        <v>337</v>
      </c>
      <c r="D1131" s="1" t="n">
        <v>10</v>
      </c>
      <c r="E1131" s="1" t="n">
        <v>41</v>
      </c>
      <c r="F1131" s="1" t="s">
        <v>45</v>
      </c>
      <c r="G1131" s="1" t="s">
        <v>46</v>
      </c>
      <c r="H1131" s="1" t="n">
        <v>17</v>
      </c>
      <c r="I1131" s="1" t="n">
        <v>1850.96</v>
      </c>
      <c r="J1131" s="1" t="n">
        <v>300</v>
      </c>
    </row>
    <row r="1132" customFormat="false" ht="15" hidden="false" customHeight="true" outlineLevel="0" collapsed="false">
      <c r="A1132" s="1" t="s">
        <v>346</v>
      </c>
      <c r="B1132" s="1" t="s">
        <v>53</v>
      </c>
      <c r="C1132" s="1" t="s">
        <v>337</v>
      </c>
      <c r="D1132" s="1" t="n">
        <v>10</v>
      </c>
      <c r="E1132" s="1" t="n">
        <v>41</v>
      </c>
      <c r="F1132" s="1" t="s">
        <v>47</v>
      </c>
      <c r="G1132" s="1" t="s">
        <v>48</v>
      </c>
      <c r="H1132" s="1" t="n">
        <v>33</v>
      </c>
      <c r="I1132" s="1" t="n">
        <v>3357.09</v>
      </c>
      <c r="J1132" s="1" t="n">
        <v>300</v>
      </c>
    </row>
    <row r="1133" customFormat="false" ht="15" hidden="false" customHeight="true" outlineLevel="0" collapsed="false">
      <c r="A1133" s="1" t="s">
        <v>346</v>
      </c>
      <c r="B1133" s="1" t="s">
        <v>53</v>
      </c>
      <c r="C1133" s="1" t="s">
        <v>337</v>
      </c>
      <c r="D1133" s="1" t="n">
        <v>10</v>
      </c>
      <c r="E1133" s="1" t="n">
        <v>41</v>
      </c>
      <c r="F1133" s="1" t="s">
        <v>49</v>
      </c>
      <c r="G1133" s="1" t="s">
        <v>49</v>
      </c>
      <c r="H1133" s="1" t="n">
        <v>37</v>
      </c>
      <c r="I1133" s="1" t="n">
        <v>3187.92</v>
      </c>
      <c r="J1133" s="1" t="n">
        <v>300</v>
      </c>
    </row>
    <row r="1134" customFormat="false" ht="15" hidden="false" customHeight="true" outlineLevel="0" collapsed="false">
      <c r="A1134" s="1" t="s">
        <v>347</v>
      </c>
      <c r="B1134" s="1" t="s">
        <v>55</v>
      </c>
      <c r="C1134" s="1" t="s">
        <v>337</v>
      </c>
      <c r="D1134" s="1" t="n">
        <v>10</v>
      </c>
      <c r="E1134" s="1" t="n">
        <v>41</v>
      </c>
      <c r="F1134" s="1" t="s">
        <v>43</v>
      </c>
      <c r="G1134" s="1" t="s">
        <v>44</v>
      </c>
      <c r="H1134" s="1" t="n">
        <v>21</v>
      </c>
      <c r="I1134" s="1" t="n">
        <v>2747.22</v>
      </c>
      <c r="J1134" s="1" t="n">
        <v>300</v>
      </c>
    </row>
    <row r="1135" customFormat="false" ht="15" hidden="false" customHeight="true" outlineLevel="0" collapsed="false">
      <c r="A1135" s="1" t="s">
        <v>347</v>
      </c>
      <c r="B1135" s="1" t="s">
        <v>55</v>
      </c>
      <c r="C1135" s="1" t="s">
        <v>337</v>
      </c>
      <c r="D1135" s="1" t="n">
        <v>10</v>
      </c>
      <c r="E1135" s="1" t="n">
        <v>41</v>
      </c>
      <c r="F1135" s="1" t="s">
        <v>45</v>
      </c>
      <c r="G1135" s="1" t="s">
        <v>46</v>
      </c>
      <c r="H1135" s="1" t="n">
        <v>52</v>
      </c>
      <c r="I1135" s="1" t="n">
        <v>5702.32</v>
      </c>
      <c r="J1135" s="1" t="n">
        <v>300</v>
      </c>
    </row>
    <row r="1136" customFormat="false" ht="15" hidden="false" customHeight="true" outlineLevel="0" collapsed="false">
      <c r="A1136" s="1" t="s">
        <v>347</v>
      </c>
      <c r="B1136" s="1" t="s">
        <v>55</v>
      </c>
      <c r="C1136" s="1" t="s">
        <v>337</v>
      </c>
      <c r="D1136" s="1" t="n">
        <v>10</v>
      </c>
      <c r="E1136" s="1" t="n">
        <v>41</v>
      </c>
      <c r="F1136" s="1" t="s">
        <v>47</v>
      </c>
      <c r="G1136" s="1" t="s">
        <v>48</v>
      </c>
      <c r="H1136" s="1" t="n">
        <v>16</v>
      </c>
      <c r="I1136" s="1" t="n">
        <v>1581.28</v>
      </c>
      <c r="J1136" s="1" t="n">
        <v>300</v>
      </c>
    </row>
    <row r="1137" customFormat="false" ht="15" hidden="false" customHeight="true" outlineLevel="0" collapsed="false">
      <c r="A1137" s="1" t="s">
        <v>347</v>
      </c>
      <c r="B1137" s="1" t="s">
        <v>55</v>
      </c>
      <c r="C1137" s="1" t="s">
        <v>337</v>
      </c>
      <c r="D1137" s="1" t="n">
        <v>10</v>
      </c>
      <c r="E1137" s="1" t="n">
        <v>41</v>
      </c>
      <c r="F1137" s="1" t="s">
        <v>49</v>
      </c>
      <c r="G1137" s="1" t="s">
        <v>49</v>
      </c>
      <c r="H1137" s="1" t="n">
        <v>44</v>
      </c>
      <c r="I1137" s="1" t="n">
        <v>3933.16</v>
      </c>
      <c r="J1137" s="1" t="n">
        <v>300</v>
      </c>
    </row>
    <row r="1138" customFormat="false" ht="15" hidden="false" customHeight="true" outlineLevel="0" collapsed="false">
      <c r="A1138" s="1" t="s">
        <v>348</v>
      </c>
      <c r="B1138" s="1" t="s">
        <v>57</v>
      </c>
      <c r="C1138" s="1" t="s">
        <v>337</v>
      </c>
      <c r="D1138" s="1" t="n">
        <v>10</v>
      </c>
      <c r="E1138" s="1" t="n">
        <v>41</v>
      </c>
      <c r="F1138" s="1" t="s">
        <v>43</v>
      </c>
      <c r="G1138" s="1" t="s">
        <v>44</v>
      </c>
      <c r="H1138" s="1" t="n">
        <v>19</v>
      </c>
      <c r="I1138" s="1" t="n">
        <v>2324.27</v>
      </c>
      <c r="J1138" s="1" t="n">
        <v>300</v>
      </c>
    </row>
    <row r="1139" customFormat="false" ht="15" hidden="false" customHeight="true" outlineLevel="0" collapsed="false">
      <c r="A1139" s="1" t="s">
        <v>348</v>
      </c>
      <c r="B1139" s="1" t="s">
        <v>57</v>
      </c>
      <c r="C1139" s="1" t="s">
        <v>337</v>
      </c>
      <c r="D1139" s="1" t="n">
        <v>10</v>
      </c>
      <c r="E1139" s="1" t="n">
        <v>41</v>
      </c>
      <c r="F1139" s="1" t="s">
        <v>45</v>
      </c>
      <c r="G1139" s="1" t="s">
        <v>46</v>
      </c>
      <c r="H1139" s="1" t="n">
        <v>56</v>
      </c>
      <c r="I1139" s="1" t="n">
        <v>5633.04</v>
      </c>
      <c r="J1139" s="1" t="n">
        <v>300</v>
      </c>
    </row>
    <row r="1140" customFormat="false" ht="15" hidden="false" customHeight="true" outlineLevel="0" collapsed="false">
      <c r="A1140" s="1" t="s">
        <v>348</v>
      </c>
      <c r="B1140" s="1" t="s">
        <v>57</v>
      </c>
      <c r="C1140" s="1" t="s">
        <v>337</v>
      </c>
      <c r="D1140" s="1" t="n">
        <v>10</v>
      </c>
      <c r="E1140" s="1" t="n">
        <v>41</v>
      </c>
      <c r="F1140" s="1" t="s">
        <v>47</v>
      </c>
      <c r="G1140" s="1" t="s">
        <v>48</v>
      </c>
      <c r="H1140" s="1" t="n">
        <v>18</v>
      </c>
      <c r="I1140" s="1" t="n">
        <v>1664.46</v>
      </c>
      <c r="J1140" s="1" t="n">
        <v>300</v>
      </c>
    </row>
    <row r="1141" customFormat="false" ht="15" hidden="false" customHeight="true" outlineLevel="0" collapsed="false">
      <c r="A1141" s="1" t="s">
        <v>348</v>
      </c>
      <c r="B1141" s="1" t="s">
        <v>57</v>
      </c>
      <c r="C1141" s="1" t="s">
        <v>337</v>
      </c>
      <c r="D1141" s="1" t="n">
        <v>10</v>
      </c>
      <c r="E1141" s="1" t="n">
        <v>41</v>
      </c>
      <c r="F1141" s="1" t="s">
        <v>49</v>
      </c>
      <c r="G1141" s="1" t="s">
        <v>49</v>
      </c>
      <c r="H1141" s="1" t="n">
        <v>45</v>
      </c>
      <c r="I1141" s="1" t="n">
        <v>4258.35</v>
      </c>
      <c r="J1141" s="1" t="n">
        <v>300</v>
      </c>
    </row>
    <row r="1142" customFormat="false" ht="15" hidden="false" customHeight="true" outlineLevel="0" collapsed="false">
      <c r="A1142" s="1" t="s">
        <v>349</v>
      </c>
      <c r="B1142" s="1" t="s">
        <v>59</v>
      </c>
      <c r="C1142" s="1" t="s">
        <v>337</v>
      </c>
      <c r="D1142" s="1" t="n">
        <v>10</v>
      </c>
      <c r="E1142" s="1" t="n">
        <v>42</v>
      </c>
      <c r="F1142" s="1" t="s">
        <v>43</v>
      </c>
      <c r="G1142" s="1" t="s">
        <v>44</v>
      </c>
      <c r="H1142" s="1" t="n">
        <v>90</v>
      </c>
      <c r="I1142" s="1" t="n">
        <v>10540.8</v>
      </c>
      <c r="J1142" s="1" t="n">
        <v>300</v>
      </c>
    </row>
    <row r="1143" customFormat="false" ht="15" hidden="false" customHeight="true" outlineLevel="0" collapsed="false">
      <c r="A1143" s="1" t="s">
        <v>349</v>
      </c>
      <c r="B1143" s="1" t="s">
        <v>59</v>
      </c>
      <c r="C1143" s="1" t="s">
        <v>337</v>
      </c>
      <c r="D1143" s="1" t="n">
        <v>10</v>
      </c>
      <c r="E1143" s="1" t="n">
        <v>42</v>
      </c>
      <c r="F1143" s="1" t="s">
        <v>45</v>
      </c>
      <c r="G1143" s="1" t="s">
        <v>46</v>
      </c>
      <c r="H1143" s="1" t="n">
        <v>25</v>
      </c>
      <c r="I1143" s="1" t="n">
        <v>2531.5</v>
      </c>
      <c r="J1143" s="1" t="n">
        <v>300</v>
      </c>
    </row>
    <row r="1144" customFormat="false" ht="15" hidden="false" customHeight="true" outlineLevel="0" collapsed="false">
      <c r="A1144" s="1" t="s">
        <v>349</v>
      </c>
      <c r="B1144" s="1" t="s">
        <v>59</v>
      </c>
      <c r="C1144" s="1" t="s">
        <v>337</v>
      </c>
      <c r="D1144" s="1" t="n">
        <v>10</v>
      </c>
      <c r="E1144" s="1" t="n">
        <v>42</v>
      </c>
      <c r="F1144" s="1" t="s">
        <v>47</v>
      </c>
      <c r="G1144" s="1" t="s">
        <v>48</v>
      </c>
      <c r="H1144" s="1" t="n">
        <v>30</v>
      </c>
      <c r="I1144" s="1" t="n">
        <v>3062.1</v>
      </c>
      <c r="J1144" s="1" t="n">
        <v>300</v>
      </c>
    </row>
    <row r="1145" customFormat="false" ht="15" hidden="false" customHeight="true" outlineLevel="0" collapsed="false">
      <c r="A1145" s="1" t="s">
        <v>349</v>
      </c>
      <c r="B1145" s="1" t="s">
        <v>59</v>
      </c>
      <c r="C1145" s="1" t="s">
        <v>337</v>
      </c>
      <c r="D1145" s="1" t="n">
        <v>10</v>
      </c>
      <c r="E1145" s="1" t="n">
        <v>42</v>
      </c>
      <c r="F1145" s="1" t="s">
        <v>49</v>
      </c>
      <c r="G1145" s="1" t="s">
        <v>49</v>
      </c>
      <c r="H1145" s="1" t="n">
        <v>36</v>
      </c>
      <c r="I1145" s="1" t="n">
        <v>3264.84</v>
      </c>
      <c r="J1145" s="1" t="n">
        <v>300</v>
      </c>
    </row>
    <row r="1146" customFormat="false" ht="15" hidden="false" customHeight="true" outlineLevel="0" collapsed="false">
      <c r="A1146" s="1" t="s">
        <v>350</v>
      </c>
      <c r="B1146" s="1" t="s">
        <v>61</v>
      </c>
      <c r="C1146" s="1" t="s">
        <v>337</v>
      </c>
      <c r="D1146" s="1" t="n">
        <v>10</v>
      </c>
      <c r="E1146" s="1" t="n">
        <v>42</v>
      </c>
      <c r="F1146" s="1" t="s">
        <v>43</v>
      </c>
      <c r="G1146" s="1" t="s">
        <v>44</v>
      </c>
      <c r="H1146" s="1" t="n">
        <v>101</v>
      </c>
      <c r="I1146" s="1" t="n">
        <v>13382.5</v>
      </c>
      <c r="J1146" s="1" t="n">
        <v>300</v>
      </c>
    </row>
    <row r="1147" customFormat="false" ht="15" hidden="false" customHeight="true" outlineLevel="0" collapsed="false">
      <c r="A1147" s="1" t="s">
        <v>350</v>
      </c>
      <c r="B1147" s="1" t="s">
        <v>61</v>
      </c>
      <c r="C1147" s="1" t="s">
        <v>337</v>
      </c>
      <c r="D1147" s="1" t="n">
        <v>10</v>
      </c>
      <c r="E1147" s="1" t="n">
        <v>42</v>
      </c>
      <c r="F1147" s="1" t="s">
        <v>45</v>
      </c>
      <c r="G1147" s="1" t="s">
        <v>46</v>
      </c>
      <c r="H1147" s="1" t="n">
        <v>26</v>
      </c>
      <c r="I1147" s="1" t="n">
        <v>2961.92</v>
      </c>
      <c r="J1147" s="1" t="n">
        <v>300</v>
      </c>
    </row>
    <row r="1148" customFormat="false" ht="15" hidden="false" customHeight="true" outlineLevel="0" collapsed="false">
      <c r="A1148" s="1" t="s">
        <v>350</v>
      </c>
      <c r="B1148" s="1" t="s">
        <v>61</v>
      </c>
      <c r="C1148" s="1" t="s">
        <v>337</v>
      </c>
      <c r="D1148" s="1" t="n">
        <v>10</v>
      </c>
      <c r="E1148" s="1" t="n">
        <v>42</v>
      </c>
      <c r="F1148" s="1" t="s">
        <v>47</v>
      </c>
      <c r="G1148" s="1" t="s">
        <v>48</v>
      </c>
      <c r="H1148" s="1" t="n">
        <v>32</v>
      </c>
      <c r="I1148" s="1" t="n">
        <v>3024</v>
      </c>
      <c r="J1148" s="1" t="n">
        <v>300</v>
      </c>
    </row>
    <row r="1149" customFormat="false" ht="15" hidden="false" customHeight="true" outlineLevel="0" collapsed="false">
      <c r="A1149" s="1" t="s">
        <v>350</v>
      </c>
      <c r="B1149" s="1" t="s">
        <v>61</v>
      </c>
      <c r="C1149" s="1" t="s">
        <v>337</v>
      </c>
      <c r="D1149" s="1" t="n">
        <v>10</v>
      </c>
      <c r="E1149" s="1" t="n">
        <v>42</v>
      </c>
      <c r="F1149" s="1" t="s">
        <v>49</v>
      </c>
      <c r="G1149" s="1" t="s">
        <v>49</v>
      </c>
      <c r="H1149" s="1" t="n">
        <v>31</v>
      </c>
      <c r="I1149" s="1" t="n">
        <v>2943.76</v>
      </c>
      <c r="J1149" s="1" t="n">
        <v>300</v>
      </c>
    </row>
    <row r="1150" customFormat="false" ht="15" hidden="false" customHeight="true" outlineLevel="0" collapsed="false">
      <c r="A1150" s="1" t="s">
        <v>351</v>
      </c>
      <c r="B1150" s="1" t="s">
        <v>41</v>
      </c>
      <c r="C1150" s="1" t="s">
        <v>337</v>
      </c>
      <c r="D1150" s="1" t="n">
        <v>10</v>
      </c>
      <c r="E1150" s="1" t="n">
        <v>42</v>
      </c>
      <c r="F1150" s="1" t="s">
        <v>43</v>
      </c>
      <c r="G1150" s="1" t="s">
        <v>44</v>
      </c>
      <c r="H1150" s="1" t="n">
        <v>110</v>
      </c>
      <c r="I1150" s="1" t="n">
        <v>14558.5</v>
      </c>
      <c r="J1150" s="1" t="n">
        <v>300</v>
      </c>
    </row>
    <row r="1151" customFormat="false" ht="15" hidden="false" customHeight="true" outlineLevel="0" collapsed="false">
      <c r="A1151" s="1" t="s">
        <v>351</v>
      </c>
      <c r="B1151" s="1" t="s">
        <v>41</v>
      </c>
      <c r="C1151" s="1" t="s">
        <v>337</v>
      </c>
      <c r="D1151" s="1" t="n">
        <v>10</v>
      </c>
      <c r="E1151" s="1" t="n">
        <v>42</v>
      </c>
      <c r="F1151" s="1" t="s">
        <v>45</v>
      </c>
      <c r="G1151" s="1" t="s">
        <v>46</v>
      </c>
      <c r="H1151" s="1" t="n">
        <v>24</v>
      </c>
      <c r="I1151" s="1" t="n">
        <v>2349.36</v>
      </c>
      <c r="J1151" s="1" t="n">
        <v>300</v>
      </c>
    </row>
    <row r="1152" customFormat="false" ht="15" hidden="false" customHeight="true" outlineLevel="0" collapsed="false">
      <c r="A1152" s="1" t="s">
        <v>351</v>
      </c>
      <c r="B1152" s="1" t="s">
        <v>41</v>
      </c>
      <c r="C1152" s="1" t="s">
        <v>337</v>
      </c>
      <c r="D1152" s="1" t="n">
        <v>10</v>
      </c>
      <c r="E1152" s="1" t="n">
        <v>42</v>
      </c>
      <c r="F1152" s="1" t="s">
        <v>47</v>
      </c>
      <c r="G1152" s="1" t="s">
        <v>48</v>
      </c>
      <c r="H1152" s="1" t="n">
        <v>34</v>
      </c>
      <c r="I1152" s="1" t="n">
        <v>3174.58</v>
      </c>
      <c r="J1152" s="1" t="n">
        <v>300</v>
      </c>
    </row>
    <row r="1153" customFormat="false" ht="15" hidden="false" customHeight="true" outlineLevel="0" collapsed="false">
      <c r="A1153" s="1" t="s">
        <v>351</v>
      </c>
      <c r="B1153" s="1" t="s">
        <v>41</v>
      </c>
      <c r="C1153" s="1" t="s">
        <v>337</v>
      </c>
      <c r="D1153" s="1" t="n">
        <v>10</v>
      </c>
      <c r="E1153" s="1" t="n">
        <v>42</v>
      </c>
      <c r="F1153" s="1" t="s">
        <v>49</v>
      </c>
      <c r="G1153" s="1" t="s">
        <v>49</v>
      </c>
      <c r="H1153" s="1" t="n">
        <v>32</v>
      </c>
      <c r="I1153" s="1" t="n">
        <v>2990.72</v>
      </c>
      <c r="J1153" s="1" t="n">
        <v>300</v>
      </c>
    </row>
    <row r="1154" customFormat="false" ht="15" hidden="false" customHeight="true" outlineLevel="0" collapsed="false">
      <c r="A1154" s="1" t="s">
        <v>352</v>
      </c>
      <c r="B1154" s="1" t="s">
        <v>51</v>
      </c>
      <c r="C1154" s="1" t="s">
        <v>337</v>
      </c>
      <c r="D1154" s="1" t="n">
        <v>10</v>
      </c>
      <c r="E1154" s="1" t="n">
        <v>42</v>
      </c>
      <c r="F1154" s="1" t="s">
        <v>43</v>
      </c>
      <c r="G1154" s="1" t="s">
        <v>44</v>
      </c>
      <c r="H1154" s="1" t="n">
        <v>126</v>
      </c>
      <c r="I1154" s="1" t="n">
        <v>18252.36</v>
      </c>
      <c r="J1154" s="1" t="n">
        <v>300</v>
      </c>
    </row>
    <row r="1155" customFormat="false" ht="15" hidden="false" customHeight="true" outlineLevel="0" collapsed="false">
      <c r="A1155" s="1" t="s">
        <v>352</v>
      </c>
      <c r="B1155" s="1" t="s">
        <v>51</v>
      </c>
      <c r="C1155" s="1" t="s">
        <v>337</v>
      </c>
      <c r="D1155" s="1" t="n">
        <v>10</v>
      </c>
      <c r="E1155" s="1" t="n">
        <v>42</v>
      </c>
      <c r="F1155" s="1" t="s">
        <v>45</v>
      </c>
      <c r="G1155" s="1" t="s">
        <v>46</v>
      </c>
      <c r="H1155" s="1" t="n">
        <v>24</v>
      </c>
      <c r="I1155" s="1" t="n">
        <v>2553.84</v>
      </c>
      <c r="J1155" s="1" t="n">
        <v>300</v>
      </c>
    </row>
    <row r="1156" customFormat="false" ht="15" hidden="false" customHeight="true" outlineLevel="0" collapsed="false">
      <c r="A1156" s="1" t="s">
        <v>352</v>
      </c>
      <c r="B1156" s="1" t="s">
        <v>51</v>
      </c>
      <c r="C1156" s="1" t="s">
        <v>337</v>
      </c>
      <c r="D1156" s="1" t="n">
        <v>10</v>
      </c>
      <c r="E1156" s="1" t="n">
        <v>42</v>
      </c>
      <c r="F1156" s="1" t="s">
        <v>47</v>
      </c>
      <c r="G1156" s="1" t="s">
        <v>48</v>
      </c>
      <c r="H1156" s="1" t="n">
        <v>33</v>
      </c>
      <c r="I1156" s="1" t="n">
        <v>3452.13</v>
      </c>
      <c r="J1156" s="1" t="n">
        <v>300</v>
      </c>
    </row>
    <row r="1157" customFormat="false" ht="15" hidden="false" customHeight="true" outlineLevel="0" collapsed="false">
      <c r="A1157" s="1" t="s">
        <v>352</v>
      </c>
      <c r="B1157" s="1" t="s">
        <v>51</v>
      </c>
      <c r="C1157" s="1" t="s">
        <v>337</v>
      </c>
      <c r="D1157" s="1" t="n">
        <v>10</v>
      </c>
      <c r="E1157" s="1" t="n">
        <v>42</v>
      </c>
      <c r="F1157" s="1" t="s">
        <v>49</v>
      </c>
      <c r="G1157" s="1" t="s">
        <v>49</v>
      </c>
      <c r="H1157" s="1" t="n">
        <v>33</v>
      </c>
      <c r="I1157" s="1" t="n">
        <v>3366</v>
      </c>
      <c r="J1157" s="1" t="n">
        <v>300</v>
      </c>
    </row>
    <row r="1158" customFormat="false" ht="15" hidden="false" customHeight="true" outlineLevel="0" collapsed="false">
      <c r="A1158" s="1" t="s">
        <v>353</v>
      </c>
      <c r="B1158" s="1" t="s">
        <v>53</v>
      </c>
      <c r="C1158" s="1" t="s">
        <v>337</v>
      </c>
      <c r="D1158" s="1" t="n">
        <v>10</v>
      </c>
      <c r="E1158" s="1" t="n">
        <v>42</v>
      </c>
      <c r="F1158" s="1" t="s">
        <v>43</v>
      </c>
      <c r="G1158" s="1" t="s">
        <v>44</v>
      </c>
      <c r="H1158" s="1" t="n">
        <v>109</v>
      </c>
      <c r="I1158" s="1" t="n">
        <v>13704.57</v>
      </c>
      <c r="J1158" s="1" t="n">
        <v>300</v>
      </c>
    </row>
    <row r="1159" customFormat="false" ht="15" hidden="false" customHeight="true" outlineLevel="0" collapsed="false">
      <c r="A1159" s="1" t="s">
        <v>353</v>
      </c>
      <c r="B1159" s="1" t="s">
        <v>53</v>
      </c>
      <c r="C1159" s="1" t="s">
        <v>337</v>
      </c>
      <c r="D1159" s="1" t="n">
        <v>10</v>
      </c>
      <c r="E1159" s="1" t="n">
        <v>42</v>
      </c>
      <c r="F1159" s="1" t="s">
        <v>45</v>
      </c>
      <c r="G1159" s="1" t="s">
        <v>46</v>
      </c>
      <c r="H1159" s="1" t="n">
        <v>24</v>
      </c>
      <c r="I1159" s="1" t="n">
        <v>2647.68</v>
      </c>
      <c r="J1159" s="1" t="n">
        <v>300</v>
      </c>
    </row>
    <row r="1160" customFormat="false" ht="15" hidden="false" customHeight="true" outlineLevel="0" collapsed="false">
      <c r="A1160" s="1" t="s">
        <v>353</v>
      </c>
      <c r="B1160" s="1" t="s">
        <v>53</v>
      </c>
      <c r="C1160" s="1" t="s">
        <v>337</v>
      </c>
      <c r="D1160" s="1" t="n">
        <v>10</v>
      </c>
      <c r="E1160" s="1" t="n">
        <v>42</v>
      </c>
      <c r="F1160" s="1" t="s">
        <v>47</v>
      </c>
      <c r="G1160" s="1" t="s">
        <v>48</v>
      </c>
      <c r="H1160" s="1" t="n">
        <v>34</v>
      </c>
      <c r="I1160" s="1" t="n">
        <v>3251.76</v>
      </c>
      <c r="J1160" s="1" t="n">
        <v>300</v>
      </c>
    </row>
    <row r="1161" customFormat="false" ht="15" hidden="false" customHeight="true" outlineLevel="0" collapsed="false">
      <c r="A1161" s="1" t="s">
        <v>353</v>
      </c>
      <c r="B1161" s="1" t="s">
        <v>53</v>
      </c>
      <c r="C1161" s="1" t="s">
        <v>337</v>
      </c>
      <c r="D1161" s="1" t="n">
        <v>10</v>
      </c>
      <c r="E1161" s="1" t="n">
        <v>42</v>
      </c>
      <c r="F1161" s="1" t="s">
        <v>49</v>
      </c>
      <c r="G1161" s="1" t="s">
        <v>49</v>
      </c>
      <c r="H1161" s="1" t="n">
        <v>32</v>
      </c>
      <c r="I1161" s="1" t="n">
        <v>2752</v>
      </c>
      <c r="J1161" s="1" t="n">
        <v>300</v>
      </c>
    </row>
    <row r="1162" customFormat="false" ht="15" hidden="false" customHeight="true" outlineLevel="0" collapsed="false">
      <c r="A1162" s="1" t="s">
        <v>354</v>
      </c>
      <c r="B1162" s="1" t="s">
        <v>55</v>
      </c>
      <c r="C1162" s="1" t="s">
        <v>337</v>
      </c>
      <c r="D1162" s="1" t="n">
        <v>10</v>
      </c>
      <c r="E1162" s="1" t="n">
        <v>42</v>
      </c>
      <c r="F1162" s="1" t="s">
        <v>43</v>
      </c>
      <c r="G1162" s="1" t="s">
        <v>44</v>
      </c>
      <c r="H1162" s="1" t="n">
        <v>21</v>
      </c>
      <c r="I1162" s="1" t="n">
        <v>2683.59</v>
      </c>
      <c r="J1162" s="1" t="n">
        <v>300</v>
      </c>
    </row>
    <row r="1163" customFormat="false" ht="15" hidden="false" customHeight="true" outlineLevel="0" collapsed="false">
      <c r="A1163" s="1" t="s">
        <v>354</v>
      </c>
      <c r="B1163" s="1" t="s">
        <v>55</v>
      </c>
      <c r="C1163" s="1" t="s">
        <v>337</v>
      </c>
      <c r="D1163" s="1" t="n">
        <v>10</v>
      </c>
      <c r="E1163" s="1" t="n">
        <v>42</v>
      </c>
      <c r="F1163" s="1" t="s">
        <v>45</v>
      </c>
      <c r="G1163" s="1" t="s">
        <v>46</v>
      </c>
      <c r="H1163" s="1" t="n">
        <v>64</v>
      </c>
      <c r="I1163" s="1" t="n">
        <v>7578.24</v>
      </c>
      <c r="J1163" s="1" t="n">
        <v>300</v>
      </c>
    </row>
    <row r="1164" customFormat="false" ht="15" hidden="false" customHeight="true" outlineLevel="0" collapsed="false">
      <c r="A1164" s="1" t="s">
        <v>354</v>
      </c>
      <c r="B1164" s="1" t="s">
        <v>55</v>
      </c>
      <c r="C1164" s="1" t="s">
        <v>337</v>
      </c>
      <c r="D1164" s="1" t="n">
        <v>10</v>
      </c>
      <c r="E1164" s="1" t="n">
        <v>42</v>
      </c>
      <c r="F1164" s="1" t="s">
        <v>47</v>
      </c>
      <c r="G1164" s="1" t="s">
        <v>48</v>
      </c>
      <c r="H1164" s="1" t="n">
        <v>17</v>
      </c>
      <c r="I1164" s="1" t="n">
        <v>1756.27</v>
      </c>
      <c r="J1164" s="1" t="n">
        <v>300</v>
      </c>
    </row>
    <row r="1165" customFormat="false" ht="15" hidden="false" customHeight="true" outlineLevel="0" collapsed="false">
      <c r="A1165" s="1" t="s">
        <v>354</v>
      </c>
      <c r="B1165" s="1" t="s">
        <v>55</v>
      </c>
      <c r="C1165" s="1" t="s">
        <v>337</v>
      </c>
      <c r="D1165" s="1" t="n">
        <v>10</v>
      </c>
      <c r="E1165" s="1" t="n">
        <v>42</v>
      </c>
      <c r="F1165" s="1" t="s">
        <v>49</v>
      </c>
      <c r="G1165" s="1" t="s">
        <v>49</v>
      </c>
      <c r="H1165" s="1" t="n">
        <v>38</v>
      </c>
      <c r="I1165" s="1" t="n">
        <v>3417.72</v>
      </c>
      <c r="J1165" s="1" t="n">
        <v>300</v>
      </c>
    </row>
    <row r="1166" customFormat="false" ht="15" hidden="false" customHeight="true" outlineLevel="0" collapsed="false">
      <c r="A1166" s="1" t="s">
        <v>355</v>
      </c>
      <c r="B1166" s="1" t="s">
        <v>57</v>
      </c>
      <c r="C1166" s="1" t="s">
        <v>337</v>
      </c>
      <c r="D1166" s="1" t="n">
        <v>10</v>
      </c>
      <c r="E1166" s="1" t="n">
        <v>42</v>
      </c>
      <c r="F1166" s="1" t="s">
        <v>43</v>
      </c>
      <c r="G1166" s="1" t="s">
        <v>44</v>
      </c>
      <c r="H1166" s="1" t="n">
        <v>21</v>
      </c>
      <c r="I1166" s="1" t="n">
        <v>2694.3</v>
      </c>
      <c r="J1166" s="1" t="n">
        <v>300</v>
      </c>
    </row>
    <row r="1167" customFormat="false" ht="15" hidden="false" customHeight="true" outlineLevel="0" collapsed="false">
      <c r="A1167" s="1" t="s">
        <v>355</v>
      </c>
      <c r="B1167" s="1" t="s">
        <v>57</v>
      </c>
      <c r="C1167" s="1" t="s">
        <v>337</v>
      </c>
      <c r="D1167" s="1" t="n">
        <v>10</v>
      </c>
      <c r="E1167" s="1" t="n">
        <v>42</v>
      </c>
      <c r="F1167" s="1" t="s">
        <v>45</v>
      </c>
      <c r="G1167" s="1" t="s">
        <v>46</v>
      </c>
      <c r="H1167" s="1" t="n">
        <v>60</v>
      </c>
      <c r="I1167" s="1" t="n">
        <v>6427.8</v>
      </c>
      <c r="J1167" s="1" t="n">
        <v>300</v>
      </c>
    </row>
    <row r="1168" customFormat="false" ht="15" hidden="false" customHeight="true" outlineLevel="0" collapsed="false">
      <c r="A1168" s="1" t="s">
        <v>355</v>
      </c>
      <c r="B1168" s="1" t="s">
        <v>57</v>
      </c>
      <c r="C1168" s="1" t="s">
        <v>337</v>
      </c>
      <c r="D1168" s="1" t="n">
        <v>10</v>
      </c>
      <c r="E1168" s="1" t="n">
        <v>42</v>
      </c>
      <c r="F1168" s="1" t="s">
        <v>47</v>
      </c>
      <c r="G1168" s="1" t="s">
        <v>48</v>
      </c>
      <c r="H1168" s="1" t="n">
        <v>15</v>
      </c>
      <c r="I1168" s="1" t="n">
        <v>1457.85</v>
      </c>
      <c r="J1168" s="1" t="n">
        <v>300</v>
      </c>
    </row>
    <row r="1169" customFormat="false" ht="15" hidden="false" customHeight="true" outlineLevel="0" collapsed="false">
      <c r="A1169" s="1" t="s">
        <v>355</v>
      </c>
      <c r="B1169" s="1" t="s">
        <v>57</v>
      </c>
      <c r="C1169" s="1" t="s">
        <v>337</v>
      </c>
      <c r="D1169" s="1" t="n">
        <v>10</v>
      </c>
      <c r="E1169" s="1" t="n">
        <v>42</v>
      </c>
      <c r="F1169" s="1" t="s">
        <v>49</v>
      </c>
      <c r="G1169" s="1" t="s">
        <v>49</v>
      </c>
      <c r="H1169" s="1" t="n">
        <v>46</v>
      </c>
      <c r="I1169" s="1" t="n">
        <v>4381.96</v>
      </c>
      <c r="J1169" s="1" t="n">
        <v>300</v>
      </c>
    </row>
    <row r="1170" customFormat="false" ht="15" hidden="false" customHeight="true" outlineLevel="0" collapsed="false">
      <c r="A1170" s="1" t="s">
        <v>356</v>
      </c>
      <c r="B1170" s="1" t="s">
        <v>59</v>
      </c>
      <c r="C1170" s="1" t="s">
        <v>337</v>
      </c>
      <c r="D1170" s="1" t="n">
        <v>10</v>
      </c>
      <c r="E1170" s="1" t="n">
        <v>43</v>
      </c>
      <c r="F1170" s="1" t="s">
        <v>43</v>
      </c>
      <c r="G1170" s="1" t="s">
        <v>44</v>
      </c>
      <c r="H1170" s="1" t="n">
        <v>111</v>
      </c>
      <c r="I1170" s="1" t="n">
        <v>13591.95</v>
      </c>
      <c r="J1170" s="1" t="n">
        <v>300</v>
      </c>
    </row>
    <row r="1171" customFormat="false" ht="15" hidden="false" customHeight="true" outlineLevel="0" collapsed="false">
      <c r="A1171" s="1" t="s">
        <v>356</v>
      </c>
      <c r="B1171" s="1" t="s">
        <v>59</v>
      </c>
      <c r="C1171" s="1" t="s">
        <v>337</v>
      </c>
      <c r="D1171" s="1" t="n">
        <v>10</v>
      </c>
      <c r="E1171" s="1" t="n">
        <v>43</v>
      </c>
      <c r="F1171" s="1" t="s">
        <v>45</v>
      </c>
      <c r="G1171" s="1" t="s">
        <v>46</v>
      </c>
      <c r="H1171" s="1" t="n">
        <v>22</v>
      </c>
      <c r="I1171" s="1" t="n">
        <v>2273.26</v>
      </c>
      <c r="J1171" s="1" t="n">
        <v>300</v>
      </c>
    </row>
    <row r="1172" customFormat="false" ht="15" hidden="false" customHeight="true" outlineLevel="0" collapsed="false">
      <c r="A1172" s="1" t="s">
        <v>356</v>
      </c>
      <c r="B1172" s="1" t="s">
        <v>59</v>
      </c>
      <c r="C1172" s="1" t="s">
        <v>337</v>
      </c>
      <c r="D1172" s="1" t="n">
        <v>10</v>
      </c>
      <c r="E1172" s="1" t="n">
        <v>43</v>
      </c>
      <c r="F1172" s="1" t="s">
        <v>47</v>
      </c>
      <c r="G1172" s="1" t="s">
        <v>48</v>
      </c>
      <c r="H1172" s="1" t="n">
        <v>33</v>
      </c>
      <c r="I1172" s="1" t="n">
        <v>3360.39</v>
      </c>
      <c r="J1172" s="1" t="n">
        <v>300</v>
      </c>
    </row>
    <row r="1173" customFormat="false" ht="15" hidden="false" customHeight="true" outlineLevel="0" collapsed="false">
      <c r="A1173" s="1" t="s">
        <v>356</v>
      </c>
      <c r="B1173" s="1" t="s">
        <v>59</v>
      </c>
      <c r="C1173" s="1" t="s">
        <v>337</v>
      </c>
      <c r="D1173" s="1" t="n">
        <v>10</v>
      </c>
      <c r="E1173" s="1" t="n">
        <v>43</v>
      </c>
      <c r="F1173" s="1" t="s">
        <v>49</v>
      </c>
      <c r="G1173" s="1" t="s">
        <v>49</v>
      </c>
      <c r="H1173" s="1" t="n">
        <v>35</v>
      </c>
      <c r="I1173" s="1" t="n">
        <v>3120.95</v>
      </c>
      <c r="J1173" s="1" t="n">
        <v>300</v>
      </c>
    </row>
    <row r="1174" customFormat="false" ht="15" hidden="false" customHeight="true" outlineLevel="0" collapsed="false">
      <c r="A1174" s="1" t="s">
        <v>357</v>
      </c>
      <c r="B1174" s="1" t="s">
        <v>61</v>
      </c>
      <c r="C1174" s="1" t="s">
        <v>337</v>
      </c>
      <c r="D1174" s="1" t="n">
        <v>10</v>
      </c>
      <c r="E1174" s="1" t="n">
        <v>43</v>
      </c>
      <c r="F1174" s="1" t="s">
        <v>43</v>
      </c>
      <c r="G1174" s="1" t="s">
        <v>44</v>
      </c>
      <c r="H1174" s="1" t="n">
        <v>86</v>
      </c>
      <c r="I1174" s="1" t="n">
        <v>11190.32</v>
      </c>
      <c r="J1174" s="1" t="n">
        <v>300</v>
      </c>
    </row>
    <row r="1175" customFormat="false" ht="15" hidden="false" customHeight="true" outlineLevel="0" collapsed="false">
      <c r="A1175" s="1" t="s">
        <v>357</v>
      </c>
      <c r="B1175" s="1" t="s">
        <v>61</v>
      </c>
      <c r="C1175" s="1" t="s">
        <v>337</v>
      </c>
      <c r="D1175" s="1" t="n">
        <v>10</v>
      </c>
      <c r="E1175" s="1" t="n">
        <v>43</v>
      </c>
      <c r="F1175" s="1" t="s">
        <v>45</v>
      </c>
      <c r="G1175" s="1" t="s">
        <v>46</v>
      </c>
      <c r="H1175" s="1" t="n">
        <v>21</v>
      </c>
      <c r="I1175" s="1" t="n">
        <v>2142.63</v>
      </c>
      <c r="J1175" s="1" t="n">
        <v>300</v>
      </c>
    </row>
    <row r="1176" customFormat="false" ht="15" hidden="false" customHeight="true" outlineLevel="0" collapsed="false">
      <c r="A1176" s="1" t="s">
        <v>357</v>
      </c>
      <c r="B1176" s="1" t="s">
        <v>61</v>
      </c>
      <c r="C1176" s="1" t="s">
        <v>337</v>
      </c>
      <c r="D1176" s="1" t="n">
        <v>10</v>
      </c>
      <c r="E1176" s="1" t="n">
        <v>43</v>
      </c>
      <c r="F1176" s="1" t="s">
        <v>47</v>
      </c>
      <c r="G1176" s="1" t="s">
        <v>48</v>
      </c>
      <c r="H1176" s="1" t="n">
        <v>33</v>
      </c>
      <c r="I1176" s="1" t="n">
        <v>3200.34</v>
      </c>
      <c r="J1176" s="1" t="n">
        <v>300</v>
      </c>
    </row>
    <row r="1177" customFormat="false" ht="15" hidden="false" customHeight="true" outlineLevel="0" collapsed="false">
      <c r="A1177" s="1" t="s">
        <v>357</v>
      </c>
      <c r="B1177" s="1" t="s">
        <v>61</v>
      </c>
      <c r="C1177" s="1" t="s">
        <v>337</v>
      </c>
      <c r="D1177" s="1" t="n">
        <v>10</v>
      </c>
      <c r="E1177" s="1" t="n">
        <v>43</v>
      </c>
      <c r="F1177" s="1" t="s">
        <v>49</v>
      </c>
      <c r="G1177" s="1" t="s">
        <v>49</v>
      </c>
      <c r="H1177" s="1" t="n">
        <v>37</v>
      </c>
      <c r="I1177" s="1" t="n">
        <v>3533.13</v>
      </c>
      <c r="J1177" s="1" t="n">
        <v>300</v>
      </c>
    </row>
    <row r="1178" customFormat="false" ht="15" hidden="false" customHeight="true" outlineLevel="0" collapsed="false">
      <c r="A1178" s="1" t="s">
        <v>358</v>
      </c>
      <c r="B1178" s="1" t="s">
        <v>41</v>
      </c>
      <c r="C1178" s="1" t="s">
        <v>337</v>
      </c>
      <c r="D1178" s="1" t="n">
        <v>10</v>
      </c>
      <c r="E1178" s="1" t="n">
        <v>43</v>
      </c>
      <c r="F1178" s="1" t="s">
        <v>43</v>
      </c>
      <c r="G1178" s="1" t="s">
        <v>44</v>
      </c>
      <c r="H1178" s="1" t="n">
        <v>113</v>
      </c>
      <c r="I1178" s="1" t="n">
        <v>12665.04</v>
      </c>
      <c r="J1178" s="1" t="n">
        <v>300</v>
      </c>
    </row>
    <row r="1179" customFormat="false" ht="15" hidden="false" customHeight="true" outlineLevel="0" collapsed="false">
      <c r="A1179" s="1" t="s">
        <v>358</v>
      </c>
      <c r="B1179" s="1" t="s">
        <v>41</v>
      </c>
      <c r="C1179" s="1" t="s">
        <v>337</v>
      </c>
      <c r="D1179" s="1" t="n">
        <v>10</v>
      </c>
      <c r="E1179" s="1" t="n">
        <v>43</v>
      </c>
      <c r="F1179" s="1" t="s">
        <v>45</v>
      </c>
      <c r="G1179" s="1" t="s">
        <v>46</v>
      </c>
      <c r="H1179" s="1" t="n">
        <v>25</v>
      </c>
      <c r="I1179" s="1" t="n">
        <v>2732</v>
      </c>
      <c r="J1179" s="1" t="n">
        <v>300</v>
      </c>
    </row>
    <row r="1180" customFormat="false" ht="15" hidden="false" customHeight="true" outlineLevel="0" collapsed="false">
      <c r="A1180" s="1" t="s">
        <v>358</v>
      </c>
      <c r="B1180" s="1" t="s">
        <v>41</v>
      </c>
      <c r="C1180" s="1" t="s">
        <v>337</v>
      </c>
      <c r="D1180" s="1" t="n">
        <v>10</v>
      </c>
      <c r="E1180" s="1" t="n">
        <v>43</v>
      </c>
      <c r="F1180" s="1" t="s">
        <v>47</v>
      </c>
      <c r="G1180" s="1" t="s">
        <v>48</v>
      </c>
      <c r="H1180" s="1" t="n">
        <v>30</v>
      </c>
      <c r="I1180" s="1" t="n">
        <v>3005.1</v>
      </c>
      <c r="J1180" s="1" t="n">
        <v>300</v>
      </c>
    </row>
    <row r="1181" customFormat="false" ht="15" hidden="false" customHeight="true" outlineLevel="0" collapsed="false">
      <c r="A1181" s="1" t="s">
        <v>358</v>
      </c>
      <c r="B1181" s="1" t="s">
        <v>41</v>
      </c>
      <c r="C1181" s="1" t="s">
        <v>337</v>
      </c>
      <c r="D1181" s="1" t="n">
        <v>10</v>
      </c>
      <c r="E1181" s="1" t="n">
        <v>43</v>
      </c>
      <c r="F1181" s="1" t="s">
        <v>49</v>
      </c>
      <c r="G1181" s="1" t="s">
        <v>49</v>
      </c>
      <c r="H1181" s="1" t="n">
        <v>28</v>
      </c>
      <c r="I1181" s="1" t="n">
        <v>2641.52</v>
      </c>
      <c r="J1181" s="1" t="n">
        <v>300</v>
      </c>
    </row>
    <row r="1182" customFormat="false" ht="15" hidden="false" customHeight="true" outlineLevel="0" collapsed="false">
      <c r="A1182" s="1" t="s">
        <v>359</v>
      </c>
      <c r="B1182" s="1" t="s">
        <v>51</v>
      </c>
      <c r="C1182" s="1" t="s">
        <v>337</v>
      </c>
      <c r="D1182" s="1" t="n">
        <v>10</v>
      </c>
      <c r="E1182" s="1" t="n">
        <v>43</v>
      </c>
      <c r="F1182" s="1" t="s">
        <v>43</v>
      </c>
      <c r="G1182" s="1" t="s">
        <v>44</v>
      </c>
      <c r="H1182" s="1" t="n">
        <v>97</v>
      </c>
      <c r="I1182" s="1" t="n">
        <v>10880.49</v>
      </c>
      <c r="J1182" s="1" t="n">
        <v>300</v>
      </c>
    </row>
    <row r="1183" customFormat="false" ht="15" hidden="false" customHeight="true" outlineLevel="0" collapsed="false">
      <c r="A1183" s="1" t="s">
        <v>359</v>
      </c>
      <c r="B1183" s="1" t="s">
        <v>51</v>
      </c>
      <c r="C1183" s="1" t="s">
        <v>337</v>
      </c>
      <c r="D1183" s="1" t="n">
        <v>10</v>
      </c>
      <c r="E1183" s="1" t="n">
        <v>43</v>
      </c>
      <c r="F1183" s="1" t="s">
        <v>45</v>
      </c>
      <c r="G1183" s="1" t="s">
        <v>46</v>
      </c>
      <c r="H1183" s="1" t="n">
        <v>19</v>
      </c>
      <c r="I1183" s="1" t="n">
        <v>2180.82</v>
      </c>
      <c r="J1183" s="1" t="n">
        <v>300</v>
      </c>
    </row>
    <row r="1184" customFormat="false" ht="15" hidden="false" customHeight="true" outlineLevel="0" collapsed="false">
      <c r="A1184" s="1" t="s">
        <v>359</v>
      </c>
      <c r="B1184" s="1" t="s">
        <v>51</v>
      </c>
      <c r="C1184" s="1" t="s">
        <v>337</v>
      </c>
      <c r="D1184" s="1" t="n">
        <v>10</v>
      </c>
      <c r="E1184" s="1" t="n">
        <v>43</v>
      </c>
      <c r="F1184" s="1" t="s">
        <v>47</v>
      </c>
      <c r="G1184" s="1" t="s">
        <v>48</v>
      </c>
      <c r="H1184" s="1" t="n">
        <v>30</v>
      </c>
      <c r="I1184" s="1" t="n">
        <v>3253.8</v>
      </c>
      <c r="J1184" s="1" t="n">
        <v>300</v>
      </c>
    </row>
    <row r="1185" customFormat="false" ht="15" hidden="false" customHeight="true" outlineLevel="0" collapsed="false">
      <c r="A1185" s="1" t="s">
        <v>359</v>
      </c>
      <c r="B1185" s="1" t="s">
        <v>51</v>
      </c>
      <c r="C1185" s="1" t="s">
        <v>337</v>
      </c>
      <c r="D1185" s="1" t="n">
        <v>10</v>
      </c>
      <c r="E1185" s="1" t="n">
        <v>43</v>
      </c>
      <c r="F1185" s="1" t="s">
        <v>49</v>
      </c>
      <c r="G1185" s="1" t="s">
        <v>49</v>
      </c>
      <c r="H1185" s="1" t="n">
        <v>32</v>
      </c>
      <c r="I1185" s="1" t="n">
        <v>2644.8</v>
      </c>
      <c r="J1185" s="1" t="n">
        <v>300</v>
      </c>
    </row>
    <row r="1186" customFormat="false" ht="15" hidden="false" customHeight="true" outlineLevel="0" collapsed="false">
      <c r="A1186" s="1" t="s">
        <v>360</v>
      </c>
      <c r="B1186" s="1" t="s">
        <v>53</v>
      </c>
      <c r="C1186" s="1" t="s">
        <v>337</v>
      </c>
      <c r="D1186" s="1" t="n">
        <v>10</v>
      </c>
      <c r="E1186" s="1" t="n">
        <v>43</v>
      </c>
      <c r="F1186" s="1" t="s">
        <v>43</v>
      </c>
      <c r="G1186" s="1" t="s">
        <v>44</v>
      </c>
      <c r="H1186" s="1" t="n">
        <v>96</v>
      </c>
      <c r="I1186" s="1" t="n">
        <v>12588.48</v>
      </c>
      <c r="J1186" s="1" t="n">
        <v>300</v>
      </c>
    </row>
    <row r="1187" customFormat="false" ht="15" hidden="false" customHeight="true" outlineLevel="0" collapsed="false">
      <c r="A1187" s="1" t="s">
        <v>360</v>
      </c>
      <c r="B1187" s="1" t="s">
        <v>53</v>
      </c>
      <c r="C1187" s="1" t="s">
        <v>337</v>
      </c>
      <c r="D1187" s="1" t="n">
        <v>10</v>
      </c>
      <c r="E1187" s="1" t="n">
        <v>43</v>
      </c>
      <c r="F1187" s="1" t="s">
        <v>45</v>
      </c>
      <c r="G1187" s="1" t="s">
        <v>46</v>
      </c>
      <c r="H1187" s="1" t="n">
        <v>22</v>
      </c>
      <c r="I1187" s="1" t="n">
        <v>2289.32</v>
      </c>
      <c r="J1187" s="1" t="n">
        <v>300</v>
      </c>
    </row>
    <row r="1188" customFormat="false" ht="15" hidden="false" customHeight="true" outlineLevel="0" collapsed="false">
      <c r="A1188" s="1" t="s">
        <v>360</v>
      </c>
      <c r="B1188" s="1" t="s">
        <v>53</v>
      </c>
      <c r="C1188" s="1" t="s">
        <v>337</v>
      </c>
      <c r="D1188" s="1" t="n">
        <v>10</v>
      </c>
      <c r="E1188" s="1" t="n">
        <v>43</v>
      </c>
      <c r="F1188" s="1" t="s">
        <v>47</v>
      </c>
      <c r="G1188" s="1" t="s">
        <v>48</v>
      </c>
      <c r="H1188" s="1" t="n">
        <v>32</v>
      </c>
      <c r="I1188" s="1" t="n">
        <v>3273.92</v>
      </c>
      <c r="J1188" s="1" t="n">
        <v>300</v>
      </c>
    </row>
    <row r="1189" customFormat="false" ht="15" hidden="false" customHeight="true" outlineLevel="0" collapsed="false">
      <c r="A1189" s="1" t="s">
        <v>360</v>
      </c>
      <c r="B1189" s="1" t="s">
        <v>53</v>
      </c>
      <c r="C1189" s="1" t="s">
        <v>337</v>
      </c>
      <c r="D1189" s="1" t="n">
        <v>10</v>
      </c>
      <c r="E1189" s="1" t="n">
        <v>43</v>
      </c>
      <c r="F1189" s="1" t="s">
        <v>49</v>
      </c>
      <c r="G1189" s="1" t="s">
        <v>49</v>
      </c>
      <c r="H1189" s="1" t="n">
        <v>37</v>
      </c>
      <c r="I1189" s="1" t="n">
        <v>3702.96</v>
      </c>
      <c r="J1189" s="1" t="n">
        <v>300</v>
      </c>
    </row>
    <row r="1190" customFormat="false" ht="15" hidden="false" customHeight="true" outlineLevel="0" collapsed="false">
      <c r="A1190" s="1" t="s">
        <v>361</v>
      </c>
      <c r="B1190" s="1" t="s">
        <v>55</v>
      </c>
      <c r="C1190" s="1" t="s">
        <v>337</v>
      </c>
      <c r="D1190" s="1" t="n">
        <v>10</v>
      </c>
      <c r="E1190" s="1" t="n">
        <v>43</v>
      </c>
      <c r="F1190" s="1" t="s">
        <v>43</v>
      </c>
      <c r="G1190" s="1" t="s">
        <v>44</v>
      </c>
      <c r="H1190" s="1" t="n">
        <v>20</v>
      </c>
      <c r="I1190" s="1" t="n">
        <v>2247.4</v>
      </c>
      <c r="J1190" s="1" t="n">
        <v>300</v>
      </c>
    </row>
    <row r="1191" customFormat="false" ht="15" hidden="false" customHeight="true" outlineLevel="0" collapsed="false">
      <c r="A1191" s="1" t="s">
        <v>361</v>
      </c>
      <c r="B1191" s="1" t="s">
        <v>55</v>
      </c>
      <c r="C1191" s="1" t="s">
        <v>337</v>
      </c>
      <c r="D1191" s="1" t="n">
        <v>10</v>
      </c>
      <c r="E1191" s="1" t="n">
        <v>43</v>
      </c>
      <c r="F1191" s="1" t="s">
        <v>45</v>
      </c>
      <c r="G1191" s="1" t="s">
        <v>46</v>
      </c>
      <c r="H1191" s="1" t="n">
        <v>59</v>
      </c>
      <c r="I1191" s="1" t="n">
        <v>6447.52</v>
      </c>
      <c r="J1191" s="1" t="n">
        <v>300</v>
      </c>
    </row>
    <row r="1192" customFormat="false" ht="15" hidden="false" customHeight="true" outlineLevel="0" collapsed="false">
      <c r="A1192" s="1" t="s">
        <v>361</v>
      </c>
      <c r="B1192" s="1" t="s">
        <v>55</v>
      </c>
      <c r="C1192" s="1" t="s">
        <v>337</v>
      </c>
      <c r="D1192" s="1" t="n">
        <v>10</v>
      </c>
      <c r="E1192" s="1" t="n">
        <v>43</v>
      </c>
      <c r="F1192" s="1" t="s">
        <v>47</v>
      </c>
      <c r="G1192" s="1" t="s">
        <v>48</v>
      </c>
      <c r="H1192" s="1" t="n">
        <v>15</v>
      </c>
      <c r="I1192" s="1" t="n">
        <v>1404.3</v>
      </c>
      <c r="J1192" s="1" t="n">
        <v>300</v>
      </c>
    </row>
    <row r="1193" customFormat="false" ht="15" hidden="false" customHeight="true" outlineLevel="0" collapsed="false">
      <c r="A1193" s="1" t="s">
        <v>361</v>
      </c>
      <c r="B1193" s="1" t="s">
        <v>55</v>
      </c>
      <c r="C1193" s="1" t="s">
        <v>337</v>
      </c>
      <c r="D1193" s="1" t="n">
        <v>10</v>
      </c>
      <c r="E1193" s="1" t="n">
        <v>43</v>
      </c>
      <c r="F1193" s="1" t="s">
        <v>49</v>
      </c>
      <c r="G1193" s="1" t="s">
        <v>49</v>
      </c>
      <c r="H1193" s="1" t="n">
        <v>44</v>
      </c>
      <c r="I1193" s="1" t="n">
        <v>4039.64</v>
      </c>
      <c r="J1193" s="1" t="n">
        <v>300</v>
      </c>
    </row>
    <row r="1194" customFormat="false" ht="15" hidden="false" customHeight="true" outlineLevel="0" collapsed="false">
      <c r="A1194" s="1" t="s">
        <v>362</v>
      </c>
      <c r="B1194" s="1" t="s">
        <v>57</v>
      </c>
      <c r="C1194" s="1" t="s">
        <v>337</v>
      </c>
      <c r="D1194" s="1" t="n">
        <v>10</v>
      </c>
      <c r="E1194" s="1" t="n">
        <v>43</v>
      </c>
      <c r="F1194" s="1" t="s">
        <v>43</v>
      </c>
      <c r="G1194" s="1" t="s">
        <v>44</v>
      </c>
      <c r="H1194" s="1" t="n">
        <v>20</v>
      </c>
      <c r="I1194" s="1" t="n">
        <v>2330.4</v>
      </c>
      <c r="J1194" s="1" t="n">
        <v>300</v>
      </c>
    </row>
    <row r="1195" customFormat="false" ht="15" hidden="false" customHeight="true" outlineLevel="0" collapsed="false">
      <c r="A1195" s="1" t="s">
        <v>362</v>
      </c>
      <c r="B1195" s="1" t="s">
        <v>57</v>
      </c>
      <c r="C1195" s="1" t="s">
        <v>337</v>
      </c>
      <c r="D1195" s="1" t="n">
        <v>10</v>
      </c>
      <c r="E1195" s="1" t="n">
        <v>43</v>
      </c>
      <c r="F1195" s="1" t="s">
        <v>45</v>
      </c>
      <c r="G1195" s="1" t="s">
        <v>46</v>
      </c>
      <c r="H1195" s="1" t="n">
        <v>60</v>
      </c>
      <c r="I1195" s="1" t="n">
        <v>6097.8</v>
      </c>
      <c r="J1195" s="1" t="n">
        <v>300</v>
      </c>
    </row>
    <row r="1196" customFormat="false" ht="15" hidden="false" customHeight="true" outlineLevel="0" collapsed="false">
      <c r="A1196" s="1" t="s">
        <v>362</v>
      </c>
      <c r="B1196" s="1" t="s">
        <v>57</v>
      </c>
      <c r="C1196" s="1" t="s">
        <v>337</v>
      </c>
      <c r="D1196" s="1" t="n">
        <v>10</v>
      </c>
      <c r="E1196" s="1" t="n">
        <v>43</v>
      </c>
      <c r="F1196" s="1" t="s">
        <v>47</v>
      </c>
      <c r="G1196" s="1" t="s">
        <v>48</v>
      </c>
      <c r="H1196" s="1" t="n">
        <v>18</v>
      </c>
      <c r="I1196" s="1" t="n">
        <v>1898.82</v>
      </c>
      <c r="J1196" s="1" t="n">
        <v>300</v>
      </c>
    </row>
    <row r="1197" customFormat="false" ht="15" hidden="false" customHeight="true" outlineLevel="0" collapsed="false">
      <c r="A1197" s="1" t="s">
        <v>362</v>
      </c>
      <c r="B1197" s="1" t="s">
        <v>57</v>
      </c>
      <c r="C1197" s="1" t="s">
        <v>337</v>
      </c>
      <c r="D1197" s="1" t="n">
        <v>10</v>
      </c>
      <c r="E1197" s="1" t="n">
        <v>43</v>
      </c>
      <c r="F1197" s="1" t="s">
        <v>49</v>
      </c>
      <c r="G1197" s="1" t="s">
        <v>49</v>
      </c>
      <c r="H1197" s="1" t="n">
        <v>35</v>
      </c>
      <c r="I1197" s="1" t="n">
        <v>3042.9</v>
      </c>
      <c r="J1197" s="1" t="n">
        <v>300</v>
      </c>
    </row>
    <row r="1198" customFormat="false" ht="15" hidden="false" customHeight="true" outlineLevel="0" collapsed="false">
      <c r="A1198" s="1" t="s">
        <v>363</v>
      </c>
      <c r="B1198" s="1" t="s">
        <v>59</v>
      </c>
      <c r="C1198" s="1" t="s">
        <v>337</v>
      </c>
      <c r="D1198" s="1" t="n">
        <v>10</v>
      </c>
      <c r="E1198" s="1" t="n">
        <v>44</v>
      </c>
      <c r="F1198" s="1" t="s">
        <v>43</v>
      </c>
      <c r="G1198" s="1" t="s">
        <v>44</v>
      </c>
      <c r="H1198" s="1" t="n">
        <v>92</v>
      </c>
      <c r="I1198" s="1" t="n">
        <v>10793.44</v>
      </c>
      <c r="J1198" s="1" t="n">
        <v>300</v>
      </c>
    </row>
    <row r="1199" customFormat="false" ht="15" hidden="false" customHeight="true" outlineLevel="0" collapsed="false">
      <c r="A1199" s="1" t="s">
        <v>363</v>
      </c>
      <c r="B1199" s="1" t="s">
        <v>59</v>
      </c>
      <c r="C1199" s="1" t="s">
        <v>337</v>
      </c>
      <c r="D1199" s="1" t="n">
        <v>10</v>
      </c>
      <c r="E1199" s="1" t="n">
        <v>44</v>
      </c>
      <c r="F1199" s="1" t="s">
        <v>45</v>
      </c>
      <c r="G1199" s="1" t="s">
        <v>46</v>
      </c>
      <c r="H1199" s="1" t="n">
        <v>22</v>
      </c>
      <c r="I1199" s="1" t="n">
        <v>2161.28</v>
      </c>
      <c r="J1199" s="1" t="n">
        <v>300</v>
      </c>
    </row>
    <row r="1200" customFormat="false" ht="15" hidden="false" customHeight="true" outlineLevel="0" collapsed="false">
      <c r="A1200" s="1" t="s">
        <v>363</v>
      </c>
      <c r="B1200" s="1" t="s">
        <v>59</v>
      </c>
      <c r="C1200" s="1" t="s">
        <v>337</v>
      </c>
      <c r="D1200" s="1" t="n">
        <v>10</v>
      </c>
      <c r="E1200" s="1" t="n">
        <v>44</v>
      </c>
      <c r="F1200" s="1" t="s">
        <v>47</v>
      </c>
      <c r="G1200" s="1" t="s">
        <v>48</v>
      </c>
      <c r="H1200" s="1" t="n">
        <v>29</v>
      </c>
      <c r="I1200" s="1" t="n">
        <v>2706.86</v>
      </c>
      <c r="J1200" s="1" t="n">
        <v>300</v>
      </c>
    </row>
    <row r="1201" customFormat="false" ht="15" hidden="false" customHeight="true" outlineLevel="0" collapsed="false">
      <c r="A1201" s="1" t="s">
        <v>363</v>
      </c>
      <c r="B1201" s="1" t="s">
        <v>59</v>
      </c>
      <c r="C1201" s="1" t="s">
        <v>337</v>
      </c>
      <c r="D1201" s="1" t="n">
        <v>10</v>
      </c>
      <c r="E1201" s="1" t="n">
        <v>44</v>
      </c>
      <c r="F1201" s="1" t="s">
        <v>49</v>
      </c>
      <c r="G1201" s="1" t="s">
        <v>49</v>
      </c>
      <c r="H1201" s="1" t="n">
        <v>34</v>
      </c>
      <c r="I1201" s="1" t="n">
        <v>3143.64</v>
      </c>
      <c r="J1201" s="1" t="n">
        <v>300</v>
      </c>
    </row>
    <row r="1202" customFormat="false" ht="15" hidden="false" customHeight="true" outlineLevel="0" collapsed="false">
      <c r="A1202" s="1" t="s">
        <v>364</v>
      </c>
      <c r="B1202" s="1" t="s">
        <v>61</v>
      </c>
      <c r="C1202" s="1" t="s">
        <v>337</v>
      </c>
      <c r="D1202" s="1" t="n">
        <v>10</v>
      </c>
      <c r="E1202" s="1" t="n">
        <v>44</v>
      </c>
      <c r="F1202" s="1" t="s">
        <v>43</v>
      </c>
      <c r="G1202" s="1" t="s">
        <v>44</v>
      </c>
      <c r="H1202" s="1" t="n">
        <v>99</v>
      </c>
      <c r="I1202" s="1" t="n">
        <v>12214.62</v>
      </c>
      <c r="J1202" s="1" t="n">
        <v>300</v>
      </c>
    </row>
    <row r="1203" customFormat="false" ht="15" hidden="false" customHeight="true" outlineLevel="0" collapsed="false">
      <c r="A1203" s="1" t="s">
        <v>364</v>
      </c>
      <c r="B1203" s="1" t="s">
        <v>61</v>
      </c>
      <c r="C1203" s="1" t="s">
        <v>337</v>
      </c>
      <c r="D1203" s="1" t="n">
        <v>10</v>
      </c>
      <c r="E1203" s="1" t="n">
        <v>44</v>
      </c>
      <c r="F1203" s="1" t="s">
        <v>45</v>
      </c>
      <c r="G1203" s="1" t="s">
        <v>46</v>
      </c>
      <c r="H1203" s="1" t="n">
        <v>21</v>
      </c>
      <c r="I1203" s="1" t="n">
        <v>2222.64</v>
      </c>
      <c r="J1203" s="1" t="n">
        <v>300</v>
      </c>
    </row>
    <row r="1204" customFormat="false" ht="15" hidden="false" customHeight="true" outlineLevel="0" collapsed="false">
      <c r="A1204" s="1" t="s">
        <v>364</v>
      </c>
      <c r="B1204" s="1" t="s">
        <v>61</v>
      </c>
      <c r="C1204" s="1" t="s">
        <v>337</v>
      </c>
      <c r="D1204" s="1" t="n">
        <v>10</v>
      </c>
      <c r="E1204" s="1" t="n">
        <v>44</v>
      </c>
      <c r="F1204" s="1" t="s">
        <v>47</v>
      </c>
      <c r="G1204" s="1" t="s">
        <v>48</v>
      </c>
      <c r="H1204" s="1" t="n">
        <v>36</v>
      </c>
      <c r="I1204" s="1" t="n">
        <v>3863.16</v>
      </c>
      <c r="J1204" s="1" t="n">
        <v>300</v>
      </c>
    </row>
    <row r="1205" customFormat="false" ht="15" hidden="false" customHeight="true" outlineLevel="0" collapsed="false">
      <c r="A1205" s="1" t="s">
        <v>364</v>
      </c>
      <c r="B1205" s="1" t="s">
        <v>61</v>
      </c>
      <c r="C1205" s="1" t="s">
        <v>337</v>
      </c>
      <c r="D1205" s="1" t="n">
        <v>10</v>
      </c>
      <c r="E1205" s="1" t="n">
        <v>44</v>
      </c>
      <c r="F1205" s="1" t="s">
        <v>49</v>
      </c>
      <c r="G1205" s="1" t="s">
        <v>49</v>
      </c>
      <c r="H1205" s="1" t="n">
        <v>30</v>
      </c>
      <c r="I1205" s="1" t="n">
        <v>2899.8</v>
      </c>
      <c r="J1205" s="1" t="n">
        <v>300</v>
      </c>
    </row>
    <row r="1206" customFormat="false" ht="15" hidden="false" customHeight="true" outlineLevel="0" collapsed="false">
      <c r="A1206" s="1" t="s">
        <v>365</v>
      </c>
      <c r="B1206" s="1" t="s">
        <v>41</v>
      </c>
      <c r="C1206" s="1" t="s">
        <v>337</v>
      </c>
      <c r="D1206" s="1" t="n">
        <v>10</v>
      </c>
      <c r="E1206" s="1" t="n">
        <v>44</v>
      </c>
      <c r="F1206" s="1" t="s">
        <v>43</v>
      </c>
      <c r="G1206" s="1" t="s">
        <v>44</v>
      </c>
      <c r="H1206" s="1" t="n">
        <v>114</v>
      </c>
      <c r="I1206" s="1" t="n">
        <v>12958.38</v>
      </c>
      <c r="J1206" s="1" t="n">
        <v>300</v>
      </c>
    </row>
    <row r="1207" customFormat="false" ht="15" hidden="false" customHeight="true" outlineLevel="0" collapsed="false">
      <c r="A1207" s="1" t="s">
        <v>365</v>
      </c>
      <c r="B1207" s="1" t="s">
        <v>41</v>
      </c>
      <c r="C1207" s="1" t="s">
        <v>337</v>
      </c>
      <c r="D1207" s="1" t="n">
        <v>10</v>
      </c>
      <c r="E1207" s="1" t="n">
        <v>44</v>
      </c>
      <c r="F1207" s="1" t="s">
        <v>45</v>
      </c>
      <c r="G1207" s="1" t="s">
        <v>46</v>
      </c>
      <c r="H1207" s="1" t="n">
        <v>24</v>
      </c>
      <c r="I1207" s="1" t="n">
        <v>2820.72</v>
      </c>
      <c r="J1207" s="1" t="n">
        <v>300</v>
      </c>
    </row>
    <row r="1208" customFormat="false" ht="15" hidden="false" customHeight="true" outlineLevel="0" collapsed="false">
      <c r="A1208" s="1" t="s">
        <v>365</v>
      </c>
      <c r="B1208" s="1" t="s">
        <v>41</v>
      </c>
      <c r="C1208" s="1" t="s">
        <v>337</v>
      </c>
      <c r="D1208" s="1" t="n">
        <v>10</v>
      </c>
      <c r="E1208" s="1" t="n">
        <v>44</v>
      </c>
      <c r="F1208" s="1" t="s">
        <v>47</v>
      </c>
      <c r="G1208" s="1" t="s">
        <v>48</v>
      </c>
      <c r="H1208" s="1" t="n">
        <v>28</v>
      </c>
      <c r="I1208" s="1" t="n">
        <v>2627.8</v>
      </c>
      <c r="J1208" s="1" t="n">
        <v>300</v>
      </c>
    </row>
    <row r="1209" customFormat="false" ht="15" hidden="false" customHeight="true" outlineLevel="0" collapsed="false">
      <c r="A1209" s="1" t="s">
        <v>365</v>
      </c>
      <c r="B1209" s="1" t="s">
        <v>41</v>
      </c>
      <c r="C1209" s="1" t="s">
        <v>337</v>
      </c>
      <c r="D1209" s="1" t="n">
        <v>10</v>
      </c>
      <c r="E1209" s="1" t="n">
        <v>44</v>
      </c>
      <c r="F1209" s="1" t="s">
        <v>49</v>
      </c>
      <c r="G1209" s="1" t="s">
        <v>49</v>
      </c>
      <c r="H1209" s="1" t="n">
        <v>37</v>
      </c>
      <c r="I1209" s="1" t="n">
        <v>3462.46</v>
      </c>
      <c r="J1209" s="1" t="n">
        <v>300</v>
      </c>
    </row>
    <row r="1210" customFormat="false" ht="15" hidden="false" customHeight="true" outlineLevel="0" collapsed="false">
      <c r="A1210" s="1" t="s">
        <v>366</v>
      </c>
      <c r="B1210" s="1" t="s">
        <v>51</v>
      </c>
      <c r="C1210" s="1" t="s">
        <v>337</v>
      </c>
      <c r="D1210" s="1" t="n">
        <v>10</v>
      </c>
      <c r="E1210" s="1" t="n">
        <v>44</v>
      </c>
      <c r="F1210" s="1" t="s">
        <v>43</v>
      </c>
      <c r="G1210" s="1" t="s">
        <v>44</v>
      </c>
      <c r="H1210" s="1" t="n">
        <v>112</v>
      </c>
      <c r="I1210" s="1" t="n">
        <v>13952.96</v>
      </c>
      <c r="J1210" s="1" t="n">
        <v>300</v>
      </c>
    </row>
    <row r="1211" customFormat="false" ht="15" hidden="false" customHeight="true" outlineLevel="0" collapsed="false">
      <c r="A1211" s="1" t="s">
        <v>366</v>
      </c>
      <c r="B1211" s="1" t="s">
        <v>51</v>
      </c>
      <c r="C1211" s="1" t="s">
        <v>337</v>
      </c>
      <c r="D1211" s="1" t="n">
        <v>10</v>
      </c>
      <c r="E1211" s="1" t="n">
        <v>44</v>
      </c>
      <c r="F1211" s="1" t="s">
        <v>45</v>
      </c>
      <c r="G1211" s="1" t="s">
        <v>46</v>
      </c>
      <c r="H1211" s="1" t="n">
        <v>23</v>
      </c>
      <c r="I1211" s="1" t="n">
        <v>2277.69</v>
      </c>
      <c r="J1211" s="1" t="n">
        <v>300</v>
      </c>
    </row>
    <row r="1212" customFormat="false" ht="15" hidden="false" customHeight="true" outlineLevel="0" collapsed="false">
      <c r="A1212" s="1" t="s">
        <v>366</v>
      </c>
      <c r="B1212" s="1" t="s">
        <v>51</v>
      </c>
      <c r="C1212" s="1" t="s">
        <v>337</v>
      </c>
      <c r="D1212" s="1" t="n">
        <v>10</v>
      </c>
      <c r="E1212" s="1" t="n">
        <v>44</v>
      </c>
      <c r="F1212" s="1" t="s">
        <v>47</v>
      </c>
      <c r="G1212" s="1" t="s">
        <v>48</v>
      </c>
      <c r="H1212" s="1" t="n">
        <v>34</v>
      </c>
      <c r="I1212" s="1" t="n">
        <v>3613.86</v>
      </c>
      <c r="J1212" s="1" t="n">
        <v>300</v>
      </c>
    </row>
    <row r="1213" customFormat="false" ht="15" hidden="false" customHeight="true" outlineLevel="0" collapsed="false">
      <c r="A1213" s="1" t="s">
        <v>366</v>
      </c>
      <c r="B1213" s="1" t="s">
        <v>51</v>
      </c>
      <c r="C1213" s="1" t="s">
        <v>337</v>
      </c>
      <c r="D1213" s="1" t="n">
        <v>10</v>
      </c>
      <c r="E1213" s="1" t="n">
        <v>44</v>
      </c>
      <c r="F1213" s="1" t="s">
        <v>49</v>
      </c>
      <c r="G1213" s="1" t="s">
        <v>49</v>
      </c>
      <c r="H1213" s="1" t="n">
        <v>33</v>
      </c>
      <c r="I1213" s="1" t="n">
        <v>3030.72</v>
      </c>
      <c r="J1213" s="1" t="n">
        <v>300</v>
      </c>
    </row>
    <row r="1214" customFormat="false" ht="15" hidden="false" customHeight="true" outlineLevel="0" collapsed="false">
      <c r="A1214" s="1" t="s">
        <v>367</v>
      </c>
      <c r="B1214" s="1" t="s">
        <v>53</v>
      </c>
      <c r="C1214" s="1" t="s">
        <v>337</v>
      </c>
      <c r="D1214" s="1" t="n">
        <v>10</v>
      </c>
      <c r="E1214" s="1" t="n">
        <v>44</v>
      </c>
      <c r="F1214" s="1" t="s">
        <v>43</v>
      </c>
      <c r="G1214" s="1" t="s">
        <v>44</v>
      </c>
      <c r="H1214" s="1" t="n">
        <v>92</v>
      </c>
      <c r="I1214" s="1" t="n">
        <v>11578.2</v>
      </c>
      <c r="J1214" s="1" t="n">
        <v>300</v>
      </c>
    </row>
    <row r="1215" customFormat="false" ht="15" hidden="false" customHeight="true" outlineLevel="0" collapsed="false">
      <c r="A1215" s="1" t="s">
        <v>367</v>
      </c>
      <c r="B1215" s="1" t="s">
        <v>53</v>
      </c>
      <c r="C1215" s="1" t="s">
        <v>337</v>
      </c>
      <c r="D1215" s="1" t="n">
        <v>10</v>
      </c>
      <c r="E1215" s="1" t="n">
        <v>44</v>
      </c>
      <c r="F1215" s="1" t="s">
        <v>45</v>
      </c>
      <c r="G1215" s="1" t="s">
        <v>46</v>
      </c>
      <c r="H1215" s="1" t="n">
        <v>24</v>
      </c>
      <c r="I1215" s="1" t="n">
        <v>2572.8</v>
      </c>
      <c r="J1215" s="1" t="n">
        <v>300</v>
      </c>
    </row>
    <row r="1216" customFormat="false" ht="15" hidden="false" customHeight="true" outlineLevel="0" collapsed="false">
      <c r="A1216" s="1" t="s">
        <v>367</v>
      </c>
      <c r="B1216" s="1" t="s">
        <v>53</v>
      </c>
      <c r="C1216" s="1" t="s">
        <v>337</v>
      </c>
      <c r="D1216" s="1" t="n">
        <v>10</v>
      </c>
      <c r="E1216" s="1" t="n">
        <v>44</v>
      </c>
      <c r="F1216" s="1" t="s">
        <v>47</v>
      </c>
      <c r="G1216" s="1" t="s">
        <v>48</v>
      </c>
      <c r="H1216" s="1" t="n">
        <v>35</v>
      </c>
      <c r="I1216" s="1" t="n">
        <v>3406.55</v>
      </c>
      <c r="J1216" s="1" t="n">
        <v>300</v>
      </c>
    </row>
    <row r="1217" customFormat="false" ht="15" hidden="false" customHeight="true" outlineLevel="0" collapsed="false">
      <c r="A1217" s="1" t="s">
        <v>367</v>
      </c>
      <c r="B1217" s="1" t="s">
        <v>53</v>
      </c>
      <c r="C1217" s="1" t="s">
        <v>337</v>
      </c>
      <c r="D1217" s="1" t="n">
        <v>10</v>
      </c>
      <c r="E1217" s="1" t="n">
        <v>44</v>
      </c>
      <c r="F1217" s="1" t="s">
        <v>49</v>
      </c>
      <c r="G1217" s="1" t="s">
        <v>49</v>
      </c>
      <c r="H1217" s="1" t="n">
        <v>35</v>
      </c>
      <c r="I1217" s="1" t="n">
        <v>3025.4</v>
      </c>
      <c r="J1217" s="1" t="n">
        <v>300</v>
      </c>
    </row>
    <row r="1218" customFormat="false" ht="15" hidden="false" customHeight="true" outlineLevel="0" collapsed="false">
      <c r="A1218" s="1" t="s">
        <v>368</v>
      </c>
      <c r="B1218" s="1" t="s">
        <v>55</v>
      </c>
      <c r="C1218" s="1" t="s">
        <v>369</v>
      </c>
      <c r="D1218" s="1" t="n">
        <v>11</v>
      </c>
      <c r="E1218" s="1" t="n">
        <v>44</v>
      </c>
      <c r="F1218" s="1" t="s">
        <v>43</v>
      </c>
      <c r="G1218" s="1" t="s">
        <v>44</v>
      </c>
      <c r="H1218" s="1" t="n">
        <v>19</v>
      </c>
      <c r="I1218" s="1" t="n">
        <v>2251.31</v>
      </c>
      <c r="J1218" s="1" t="n">
        <v>300</v>
      </c>
    </row>
    <row r="1219" customFormat="false" ht="15" hidden="false" customHeight="true" outlineLevel="0" collapsed="false">
      <c r="A1219" s="1" t="s">
        <v>368</v>
      </c>
      <c r="B1219" s="1" t="s">
        <v>55</v>
      </c>
      <c r="C1219" s="1" t="s">
        <v>369</v>
      </c>
      <c r="D1219" s="1" t="n">
        <v>11</v>
      </c>
      <c r="E1219" s="1" t="n">
        <v>44</v>
      </c>
      <c r="F1219" s="1" t="s">
        <v>45</v>
      </c>
      <c r="G1219" s="1" t="s">
        <v>46</v>
      </c>
      <c r="H1219" s="1" t="n">
        <v>59</v>
      </c>
      <c r="I1219" s="1" t="n">
        <v>6088.21</v>
      </c>
      <c r="J1219" s="1" t="n">
        <v>300</v>
      </c>
    </row>
    <row r="1220" customFormat="false" ht="15" hidden="false" customHeight="true" outlineLevel="0" collapsed="false">
      <c r="A1220" s="1" t="s">
        <v>368</v>
      </c>
      <c r="B1220" s="1" t="s">
        <v>55</v>
      </c>
      <c r="C1220" s="1" t="s">
        <v>369</v>
      </c>
      <c r="D1220" s="1" t="n">
        <v>11</v>
      </c>
      <c r="E1220" s="1" t="n">
        <v>44</v>
      </c>
      <c r="F1220" s="1" t="s">
        <v>47</v>
      </c>
      <c r="G1220" s="1" t="s">
        <v>48</v>
      </c>
      <c r="H1220" s="1" t="n">
        <v>16</v>
      </c>
      <c r="I1220" s="1" t="n">
        <v>1635.84</v>
      </c>
      <c r="J1220" s="1" t="n">
        <v>300</v>
      </c>
    </row>
    <row r="1221" customFormat="false" ht="15" hidden="false" customHeight="true" outlineLevel="0" collapsed="false">
      <c r="A1221" s="1" t="s">
        <v>368</v>
      </c>
      <c r="B1221" s="1" t="s">
        <v>55</v>
      </c>
      <c r="C1221" s="1" t="s">
        <v>369</v>
      </c>
      <c r="D1221" s="1" t="n">
        <v>11</v>
      </c>
      <c r="E1221" s="1" t="n">
        <v>44</v>
      </c>
      <c r="F1221" s="1" t="s">
        <v>49</v>
      </c>
      <c r="G1221" s="1" t="s">
        <v>49</v>
      </c>
      <c r="H1221" s="1" t="n">
        <v>38</v>
      </c>
      <c r="I1221" s="1" t="n">
        <v>3101.18</v>
      </c>
      <c r="J1221" s="1" t="n">
        <v>300</v>
      </c>
    </row>
    <row r="1222" customFormat="false" ht="15" hidden="false" customHeight="true" outlineLevel="0" collapsed="false">
      <c r="A1222" s="1" t="s">
        <v>370</v>
      </c>
      <c r="B1222" s="1" t="s">
        <v>57</v>
      </c>
      <c r="C1222" s="1" t="s">
        <v>369</v>
      </c>
      <c r="D1222" s="1" t="n">
        <v>11</v>
      </c>
      <c r="E1222" s="1" t="n">
        <v>44</v>
      </c>
      <c r="F1222" s="1" t="s">
        <v>43</v>
      </c>
      <c r="G1222" s="1" t="s">
        <v>44</v>
      </c>
      <c r="H1222" s="1" t="n">
        <v>22</v>
      </c>
      <c r="I1222" s="1" t="n">
        <v>2852.52</v>
      </c>
      <c r="J1222" s="1" t="n">
        <v>300</v>
      </c>
    </row>
    <row r="1223" customFormat="false" ht="15" hidden="false" customHeight="true" outlineLevel="0" collapsed="false">
      <c r="A1223" s="1" t="s">
        <v>370</v>
      </c>
      <c r="B1223" s="1" t="s">
        <v>57</v>
      </c>
      <c r="C1223" s="1" t="s">
        <v>369</v>
      </c>
      <c r="D1223" s="1" t="n">
        <v>11</v>
      </c>
      <c r="E1223" s="1" t="n">
        <v>44</v>
      </c>
      <c r="F1223" s="1" t="s">
        <v>45</v>
      </c>
      <c r="G1223" s="1" t="s">
        <v>46</v>
      </c>
      <c r="H1223" s="1" t="n">
        <v>51</v>
      </c>
      <c r="I1223" s="1" t="n">
        <v>5604.9</v>
      </c>
      <c r="J1223" s="1" t="n">
        <v>300</v>
      </c>
    </row>
    <row r="1224" customFormat="false" ht="15" hidden="false" customHeight="true" outlineLevel="0" collapsed="false">
      <c r="A1224" s="1" t="s">
        <v>370</v>
      </c>
      <c r="B1224" s="1" t="s">
        <v>57</v>
      </c>
      <c r="C1224" s="1" t="s">
        <v>369</v>
      </c>
      <c r="D1224" s="1" t="n">
        <v>11</v>
      </c>
      <c r="E1224" s="1" t="n">
        <v>44</v>
      </c>
      <c r="F1224" s="1" t="s">
        <v>47</v>
      </c>
      <c r="G1224" s="1" t="s">
        <v>48</v>
      </c>
      <c r="H1224" s="1" t="n">
        <v>15</v>
      </c>
      <c r="I1224" s="1" t="n">
        <v>1484.4</v>
      </c>
      <c r="J1224" s="1" t="n">
        <v>300</v>
      </c>
    </row>
    <row r="1225" customFormat="false" ht="15" hidden="false" customHeight="true" outlineLevel="0" collapsed="false">
      <c r="A1225" s="1" t="s">
        <v>370</v>
      </c>
      <c r="B1225" s="1" t="s">
        <v>57</v>
      </c>
      <c r="C1225" s="1" t="s">
        <v>369</v>
      </c>
      <c r="D1225" s="1" t="n">
        <v>11</v>
      </c>
      <c r="E1225" s="1" t="n">
        <v>44</v>
      </c>
      <c r="F1225" s="1" t="s">
        <v>49</v>
      </c>
      <c r="G1225" s="1" t="s">
        <v>49</v>
      </c>
      <c r="H1225" s="1" t="n">
        <v>41</v>
      </c>
      <c r="I1225" s="1" t="n">
        <v>3650.64</v>
      </c>
      <c r="J1225" s="1" t="n">
        <v>300</v>
      </c>
    </row>
    <row r="1226" customFormat="false" ht="15" hidden="false" customHeight="true" outlineLevel="0" collapsed="false">
      <c r="A1226" s="1" t="s">
        <v>371</v>
      </c>
      <c r="B1226" s="1" t="s">
        <v>59</v>
      </c>
      <c r="C1226" s="1" t="s">
        <v>369</v>
      </c>
      <c r="D1226" s="1" t="n">
        <v>11</v>
      </c>
      <c r="E1226" s="1" t="n">
        <v>45</v>
      </c>
      <c r="F1226" s="1" t="s">
        <v>43</v>
      </c>
      <c r="G1226" s="1" t="s">
        <v>44</v>
      </c>
      <c r="H1226" s="1" t="n">
        <v>93</v>
      </c>
      <c r="I1226" s="1" t="n">
        <v>10674.54</v>
      </c>
      <c r="J1226" s="1" t="n">
        <v>300</v>
      </c>
    </row>
    <row r="1227" customFormat="false" ht="15" hidden="false" customHeight="true" outlineLevel="0" collapsed="false">
      <c r="A1227" s="1" t="s">
        <v>371</v>
      </c>
      <c r="B1227" s="1" t="s">
        <v>59</v>
      </c>
      <c r="C1227" s="1" t="s">
        <v>369</v>
      </c>
      <c r="D1227" s="1" t="n">
        <v>11</v>
      </c>
      <c r="E1227" s="1" t="n">
        <v>45</v>
      </c>
      <c r="F1227" s="1" t="s">
        <v>45</v>
      </c>
      <c r="G1227" s="1" t="s">
        <v>46</v>
      </c>
      <c r="H1227" s="1" t="n">
        <v>19</v>
      </c>
      <c r="I1227" s="1" t="n">
        <v>1905.13</v>
      </c>
      <c r="J1227" s="1" t="n">
        <v>300</v>
      </c>
    </row>
    <row r="1228" customFormat="false" ht="15" hidden="false" customHeight="true" outlineLevel="0" collapsed="false">
      <c r="A1228" s="1" t="s">
        <v>371</v>
      </c>
      <c r="B1228" s="1" t="s">
        <v>59</v>
      </c>
      <c r="C1228" s="1" t="s">
        <v>369</v>
      </c>
      <c r="D1228" s="1" t="n">
        <v>11</v>
      </c>
      <c r="E1228" s="1" t="n">
        <v>45</v>
      </c>
      <c r="F1228" s="1" t="s">
        <v>47</v>
      </c>
      <c r="G1228" s="1" t="s">
        <v>48</v>
      </c>
      <c r="H1228" s="1" t="n">
        <v>29</v>
      </c>
      <c r="I1228" s="1" t="n">
        <v>2703.67</v>
      </c>
      <c r="J1228" s="1" t="n">
        <v>300</v>
      </c>
    </row>
    <row r="1229" customFormat="false" ht="15" hidden="false" customHeight="true" outlineLevel="0" collapsed="false">
      <c r="A1229" s="1" t="s">
        <v>371</v>
      </c>
      <c r="B1229" s="1" t="s">
        <v>59</v>
      </c>
      <c r="C1229" s="1" t="s">
        <v>369</v>
      </c>
      <c r="D1229" s="1" t="n">
        <v>11</v>
      </c>
      <c r="E1229" s="1" t="n">
        <v>45</v>
      </c>
      <c r="F1229" s="1" t="s">
        <v>49</v>
      </c>
      <c r="G1229" s="1" t="s">
        <v>49</v>
      </c>
      <c r="H1229" s="1" t="n">
        <v>33</v>
      </c>
      <c r="I1229" s="1" t="n">
        <v>3246.21</v>
      </c>
      <c r="J1229" s="1" t="n">
        <v>300</v>
      </c>
    </row>
    <row r="1230" customFormat="false" ht="15" hidden="false" customHeight="true" outlineLevel="0" collapsed="false">
      <c r="A1230" s="1" t="s">
        <v>372</v>
      </c>
      <c r="B1230" s="1" t="s">
        <v>61</v>
      </c>
      <c r="C1230" s="1" t="s">
        <v>369</v>
      </c>
      <c r="D1230" s="1" t="n">
        <v>11</v>
      </c>
      <c r="E1230" s="1" t="n">
        <v>45</v>
      </c>
      <c r="F1230" s="1" t="s">
        <v>43</v>
      </c>
      <c r="G1230" s="1" t="s">
        <v>44</v>
      </c>
      <c r="H1230" s="1" t="n">
        <v>95</v>
      </c>
      <c r="I1230" s="1" t="n">
        <v>11538.7</v>
      </c>
      <c r="J1230" s="1" t="n">
        <v>300</v>
      </c>
    </row>
    <row r="1231" customFormat="false" ht="15" hidden="false" customHeight="true" outlineLevel="0" collapsed="false">
      <c r="A1231" s="1" t="s">
        <v>372</v>
      </c>
      <c r="B1231" s="1" t="s">
        <v>61</v>
      </c>
      <c r="C1231" s="1" t="s">
        <v>369</v>
      </c>
      <c r="D1231" s="1" t="n">
        <v>11</v>
      </c>
      <c r="E1231" s="1" t="n">
        <v>45</v>
      </c>
      <c r="F1231" s="1" t="s">
        <v>45</v>
      </c>
      <c r="G1231" s="1" t="s">
        <v>46</v>
      </c>
      <c r="H1231" s="1" t="n">
        <v>22</v>
      </c>
      <c r="I1231" s="1" t="n">
        <v>2387.44</v>
      </c>
      <c r="J1231" s="1" t="n">
        <v>300</v>
      </c>
    </row>
    <row r="1232" customFormat="false" ht="15" hidden="false" customHeight="true" outlineLevel="0" collapsed="false">
      <c r="A1232" s="1" t="s">
        <v>372</v>
      </c>
      <c r="B1232" s="1" t="s">
        <v>61</v>
      </c>
      <c r="C1232" s="1" t="s">
        <v>369</v>
      </c>
      <c r="D1232" s="1" t="n">
        <v>11</v>
      </c>
      <c r="E1232" s="1" t="n">
        <v>45</v>
      </c>
      <c r="F1232" s="1" t="s">
        <v>47</v>
      </c>
      <c r="G1232" s="1" t="s">
        <v>48</v>
      </c>
      <c r="H1232" s="1" t="n">
        <v>30</v>
      </c>
      <c r="I1232" s="1" t="n">
        <v>3052.8</v>
      </c>
      <c r="J1232" s="1" t="n">
        <v>300</v>
      </c>
    </row>
    <row r="1233" customFormat="false" ht="15" hidden="false" customHeight="true" outlineLevel="0" collapsed="false">
      <c r="A1233" s="1" t="s">
        <v>372</v>
      </c>
      <c r="B1233" s="1" t="s">
        <v>61</v>
      </c>
      <c r="C1233" s="1" t="s">
        <v>369</v>
      </c>
      <c r="D1233" s="1" t="n">
        <v>11</v>
      </c>
      <c r="E1233" s="1" t="n">
        <v>45</v>
      </c>
      <c r="F1233" s="1" t="s">
        <v>49</v>
      </c>
      <c r="G1233" s="1" t="s">
        <v>49</v>
      </c>
      <c r="H1233" s="1" t="n">
        <v>33</v>
      </c>
      <c r="I1233" s="1" t="n">
        <v>2759.13</v>
      </c>
      <c r="J1233" s="1" t="n">
        <v>300</v>
      </c>
    </row>
    <row r="1234" customFormat="false" ht="15" hidden="false" customHeight="true" outlineLevel="0" collapsed="false">
      <c r="A1234" s="1" t="s">
        <v>373</v>
      </c>
      <c r="B1234" s="1" t="s">
        <v>41</v>
      </c>
      <c r="C1234" s="1" t="s">
        <v>369</v>
      </c>
      <c r="D1234" s="1" t="n">
        <v>11</v>
      </c>
      <c r="E1234" s="1" t="n">
        <v>45</v>
      </c>
      <c r="F1234" s="1" t="s">
        <v>43</v>
      </c>
      <c r="G1234" s="1" t="s">
        <v>44</v>
      </c>
      <c r="H1234" s="1" t="n">
        <v>108</v>
      </c>
      <c r="I1234" s="1" t="n">
        <v>13619.88</v>
      </c>
      <c r="J1234" s="1" t="n">
        <v>300</v>
      </c>
    </row>
    <row r="1235" customFormat="false" ht="15" hidden="false" customHeight="true" outlineLevel="0" collapsed="false">
      <c r="A1235" s="1" t="s">
        <v>373</v>
      </c>
      <c r="B1235" s="1" t="s">
        <v>41</v>
      </c>
      <c r="C1235" s="1" t="s">
        <v>369</v>
      </c>
      <c r="D1235" s="1" t="n">
        <v>11</v>
      </c>
      <c r="E1235" s="1" t="n">
        <v>45</v>
      </c>
      <c r="F1235" s="1" t="s">
        <v>45</v>
      </c>
      <c r="G1235" s="1" t="s">
        <v>46</v>
      </c>
      <c r="H1235" s="1" t="n">
        <v>20</v>
      </c>
      <c r="I1235" s="1" t="n">
        <v>2115.4</v>
      </c>
      <c r="J1235" s="1" t="n">
        <v>300</v>
      </c>
    </row>
    <row r="1236" customFormat="false" ht="15" hidden="false" customHeight="true" outlineLevel="0" collapsed="false">
      <c r="A1236" s="1" t="s">
        <v>373</v>
      </c>
      <c r="B1236" s="1" t="s">
        <v>41</v>
      </c>
      <c r="C1236" s="1" t="s">
        <v>369</v>
      </c>
      <c r="D1236" s="1" t="n">
        <v>11</v>
      </c>
      <c r="E1236" s="1" t="n">
        <v>45</v>
      </c>
      <c r="F1236" s="1" t="s">
        <v>47</v>
      </c>
      <c r="G1236" s="1" t="s">
        <v>48</v>
      </c>
      <c r="H1236" s="1" t="n">
        <v>31</v>
      </c>
      <c r="I1236" s="1" t="n">
        <v>2981.89</v>
      </c>
      <c r="J1236" s="1" t="n">
        <v>300</v>
      </c>
    </row>
    <row r="1237" customFormat="false" ht="15" hidden="false" customHeight="true" outlineLevel="0" collapsed="false">
      <c r="A1237" s="1" t="s">
        <v>373</v>
      </c>
      <c r="B1237" s="1" t="s">
        <v>41</v>
      </c>
      <c r="C1237" s="1" t="s">
        <v>369</v>
      </c>
      <c r="D1237" s="1" t="n">
        <v>11</v>
      </c>
      <c r="E1237" s="1" t="n">
        <v>45</v>
      </c>
      <c r="F1237" s="1" t="s">
        <v>49</v>
      </c>
      <c r="G1237" s="1" t="s">
        <v>49</v>
      </c>
      <c r="H1237" s="1" t="n">
        <v>35</v>
      </c>
      <c r="I1237" s="1" t="n">
        <v>3609.2</v>
      </c>
      <c r="J1237" s="1" t="n">
        <v>300</v>
      </c>
    </row>
    <row r="1238" customFormat="false" ht="15" hidden="false" customHeight="true" outlineLevel="0" collapsed="false">
      <c r="A1238" s="1" t="s">
        <v>374</v>
      </c>
      <c r="B1238" s="1" t="s">
        <v>51</v>
      </c>
      <c r="C1238" s="1" t="s">
        <v>369</v>
      </c>
      <c r="D1238" s="1" t="n">
        <v>11</v>
      </c>
      <c r="E1238" s="1" t="n">
        <v>45</v>
      </c>
      <c r="F1238" s="1" t="s">
        <v>43</v>
      </c>
      <c r="G1238" s="1" t="s">
        <v>44</v>
      </c>
      <c r="H1238" s="1" t="n">
        <v>93</v>
      </c>
      <c r="I1238" s="1" t="n">
        <v>10213.26</v>
      </c>
      <c r="J1238" s="1" t="n">
        <v>300</v>
      </c>
    </row>
    <row r="1239" customFormat="false" ht="15" hidden="false" customHeight="true" outlineLevel="0" collapsed="false">
      <c r="A1239" s="1" t="s">
        <v>374</v>
      </c>
      <c r="B1239" s="1" t="s">
        <v>51</v>
      </c>
      <c r="C1239" s="1" t="s">
        <v>369</v>
      </c>
      <c r="D1239" s="1" t="n">
        <v>11</v>
      </c>
      <c r="E1239" s="1" t="n">
        <v>45</v>
      </c>
      <c r="F1239" s="1" t="s">
        <v>45</v>
      </c>
      <c r="G1239" s="1" t="s">
        <v>46</v>
      </c>
      <c r="H1239" s="1" t="n">
        <v>22</v>
      </c>
      <c r="I1239" s="1" t="n">
        <v>2422.2</v>
      </c>
      <c r="J1239" s="1" t="n">
        <v>300</v>
      </c>
    </row>
    <row r="1240" customFormat="false" ht="15" hidden="false" customHeight="true" outlineLevel="0" collapsed="false">
      <c r="A1240" s="1" t="s">
        <v>374</v>
      </c>
      <c r="B1240" s="1" t="s">
        <v>51</v>
      </c>
      <c r="C1240" s="1" t="s">
        <v>369</v>
      </c>
      <c r="D1240" s="1" t="n">
        <v>11</v>
      </c>
      <c r="E1240" s="1" t="n">
        <v>45</v>
      </c>
      <c r="F1240" s="1" t="s">
        <v>47</v>
      </c>
      <c r="G1240" s="1" t="s">
        <v>48</v>
      </c>
      <c r="H1240" s="1" t="n">
        <v>29</v>
      </c>
      <c r="I1240" s="1" t="n">
        <v>3071.39</v>
      </c>
      <c r="J1240" s="1" t="n">
        <v>300</v>
      </c>
    </row>
    <row r="1241" customFormat="false" ht="15" hidden="false" customHeight="true" outlineLevel="0" collapsed="false">
      <c r="A1241" s="1" t="s">
        <v>374</v>
      </c>
      <c r="B1241" s="1" t="s">
        <v>51</v>
      </c>
      <c r="C1241" s="1" t="s">
        <v>369</v>
      </c>
      <c r="D1241" s="1" t="n">
        <v>11</v>
      </c>
      <c r="E1241" s="1" t="n">
        <v>45</v>
      </c>
      <c r="F1241" s="1" t="s">
        <v>49</v>
      </c>
      <c r="G1241" s="1" t="s">
        <v>49</v>
      </c>
      <c r="H1241" s="1" t="n">
        <v>28</v>
      </c>
      <c r="I1241" s="1" t="n">
        <v>2633.96</v>
      </c>
      <c r="J1241" s="1" t="n">
        <v>300</v>
      </c>
    </row>
    <row r="1242" customFormat="false" ht="15" hidden="false" customHeight="true" outlineLevel="0" collapsed="false">
      <c r="A1242" s="1" t="s">
        <v>375</v>
      </c>
      <c r="B1242" s="1" t="s">
        <v>53</v>
      </c>
      <c r="C1242" s="1" t="s">
        <v>369</v>
      </c>
      <c r="D1242" s="1" t="n">
        <v>11</v>
      </c>
      <c r="E1242" s="1" t="n">
        <v>45</v>
      </c>
      <c r="F1242" s="1" t="s">
        <v>43</v>
      </c>
      <c r="G1242" s="1" t="s">
        <v>44</v>
      </c>
      <c r="H1242" s="1" t="n">
        <v>94</v>
      </c>
      <c r="I1242" s="1" t="n">
        <v>12416.46</v>
      </c>
      <c r="J1242" s="1" t="n">
        <v>300</v>
      </c>
    </row>
    <row r="1243" customFormat="false" ht="15" hidden="false" customHeight="true" outlineLevel="0" collapsed="false">
      <c r="A1243" s="1" t="s">
        <v>375</v>
      </c>
      <c r="B1243" s="1" t="s">
        <v>53</v>
      </c>
      <c r="C1243" s="1" t="s">
        <v>369</v>
      </c>
      <c r="D1243" s="1" t="n">
        <v>11</v>
      </c>
      <c r="E1243" s="1" t="n">
        <v>45</v>
      </c>
      <c r="F1243" s="1" t="s">
        <v>45</v>
      </c>
      <c r="G1243" s="1" t="s">
        <v>46</v>
      </c>
      <c r="H1243" s="1" t="n">
        <v>25</v>
      </c>
      <c r="I1243" s="1" t="n">
        <v>2517</v>
      </c>
      <c r="J1243" s="1" t="n">
        <v>300</v>
      </c>
    </row>
    <row r="1244" customFormat="false" ht="15" hidden="false" customHeight="true" outlineLevel="0" collapsed="false">
      <c r="A1244" s="1" t="s">
        <v>375</v>
      </c>
      <c r="B1244" s="1" t="s">
        <v>53</v>
      </c>
      <c r="C1244" s="1" t="s">
        <v>369</v>
      </c>
      <c r="D1244" s="1" t="n">
        <v>11</v>
      </c>
      <c r="E1244" s="1" t="n">
        <v>45</v>
      </c>
      <c r="F1244" s="1" t="s">
        <v>47</v>
      </c>
      <c r="G1244" s="1" t="s">
        <v>48</v>
      </c>
      <c r="H1244" s="1" t="n">
        <v>28</v>
      </c>
      <c r="I1244" s="1" t="n">
        <v>2868.32</v>
      </c>
      <c r="J1244" s="1" t="n">
        <v>300</v>
      </c>
    </row>
    <row r="1245" customFormat="false" ht="15" hidden="false" customHeight="true" outlineLevel="0" collapsed="false">
      <c r="A1245" s="1" t="s">
        <v>375</v>
      </c>
      <c r="B1245" s="1" t="s">
        <v>53</v>
      </c>
      <c r="C1245" s="1" t="s">
        <v>369</v>
      </c>
      <c r="D1245" s="1" t="n">
        <v>11</v>
      </c>
      <c r="E1245" s="1" t="n">
        <v>45</v>
      </c>
      <c r="F1245" s="1" t="s">
        <v>49</v>
      </c>
      <c r="G1245" s="1" t="s">
        <v>49</v>
      </c>
      <c r="H1245" s="1" t="n">
        <v>30</v>
      </c>
      <c r="I1245" s="1" t="n">
        <v>2702.1</v>
      </c>
      <c r="J1245" s="1" t="n">
        <v>300</v>
      </c>
    </row>
    <row r="1246" customFormat="false" ht="15" hidden="false" customHeight="true" outlineLevel="0" collapsed="false">
      <c r="A1246" s="1" t="s">
        <v>376</v>
      </c>
      <c r="B1246" s="1" t="s">
        <v>55</v>
      </c>
      <c r="C1246" s="1" t="s">
        <v>369</v>
      </c>
      <c r="D1246" s="1" t="n">
        <v>11</v>
      </c>
      <c r="E1246" s="1" t="n">
        <v>45</v>
      </c>
      <c r="F1246" s="1" t="s">
        <v>43</v>
      </c>
      <c r="G1246" s="1" t="s">
        <v>44</v>
      </c>
      <c r="H1246" s="1" t="n">
        <v>19</v>
      </c>
      <c r="I1246" s="1" t="n">
        <v>2013.05</v>
      </c>
      <c r="J1246" s="1" t="n">
        <v>300</v>
      </c>
    </row>
    <row r="1247" customFormat="false" ht="15" hidden="false" customHeight="true" outlineLevel="0" collapsed="false">
      <c r="A1247" s="1" t="s">
        <v>376</v>
      </c>
      <c r="B1247" s="1" t="s">
        <v>55</v>
      </c>
      <c r="C1247" s="1" t="s">
        <v>369</v>
      </c>
      <c r="D1247" s="1" t="n">
        <v>11</v>
      </c>
      <c r="E1247" s="1" t="n">
        <v>45</v>
      </c>
      <c r="F1247" s="1" t="s">
        <v>45</v>
      </c>
      <c r="G1247" s="1" t="s">
        <v>46</v>
      </c>
      <c r="H1247" s="1" t="n">
        <v>58</v>
      </c>
      <c r="I1247" s="1" t="n">
        <v>5867.86</v>
      </c>
      <c r="J1247" s="1" t="n">
        <v>300</v>
      </c>
    </row>
    <row r="1248" customFormat="false" ht="15" hidden="false" customHeight="true" outlineLevel="0" collapsed="false">
      <c r="A1248" s="1" t="s">
        <v>376</v>
      </c>
      <c r="B1248" s="1" t="s">
        <v>55</v>
      </c>
      <c r="C1248" s="1" t="s">
        <v>369</v>
      </c>
      <c r="D1248" s="1" t="n">
        <v>11</v>
      </c>
      <c r="E1248" s="1" t="n">
        <v>45</v>
      </c>
      <c r="F1248" s="1" t="s">
        <v>47</v>
      </c>
      <c r="G1248" s="1" t="s">
        <v>48</v>
      </c>
      <c r="H1248" s="1" t="n">
        <v>15</v>
      </c>
      <c r="I1248" s="1" t="n">
        <v>1587.75</v>
      </c>
      <c r="J1248" s="1" t="n">
        <v>300</v>
      </c>
    </row>
    <row r="1249" customFormat="false" ht="15" hidden="false" customHeight="true" outlineLevel="0" collapsed="false">
      <c r="A1249" s="1" t="s">
        <v>376</v>
      </c>
      <c r="B1249" s="1" t="s">
        <v>55</v>
      </c>
      <c r="C1249" s="1" t="s">
        <v>369</v>
      </c>
      <c r="D1249" s="1" t="n">
        <v>11</v>
      </c>
      <c r="E1249" s="1" t="n">
        <v>45</v>
      </c>
      <c r="F1249" s="1" t="s">
        <v>49</v>
      </c>
      <c r="G1249" s="1" t="s">
        <v>49</v>
      </c>
      <c r="H1249" s="1" t="n">
        <v>35</v>
      </c>
      <c r="I1249" s="1" t="n">
        <v>3315.2</v>
      </c>
      <c r="J1249" s="1" t="n">
        <v>300</v>
      </c>
    </row>
    <row r="1250" customFormat="false" ht="15" hidden="false" customHeight="true" outlineLevel="0" collapsed="false">
      <c r="A1250" s="1" t="s">
        <v>377</v>
      </c>
      <c r="B1250" s="1" t="s">
        <v>57</v>
      </c>
      <c r="C1250" s="1" t="s">
        <v>369</v>
      </c>
      <c r="D1250" s="1" t="n">
        <v>11</v>
      </c>
      <c r="E1250" s="1" t="n">
        <v>45</v>
      </c>
      <c r="F1250" s="1" t="s">
        <v>43</v>
      </c>
      <c r="G1250" s="1" t="s">
        <v>44</v>
      </c>
      <c r="H1250" s="1" t="n">
        <v>18</v>
      </c>
      <c r="I1250" s="1" t="n">
        <v>2119.14</v>
      </c>
      <c r="J1250" s="1" t="n">
        <v>300</v>
      </c>
    </row>
    <row r="1251" customFormat="false" ht="15" hidden="false" customHeight="true" outlineLevel="0" collapsed="false">
      <c r="A1251" s="1" t="s">
        <v>377</v>
      </c>
      <c r="B1251" s="1" t="s">
        <v>57</v>
      </c>
      <c r="C1251" s="1" t="s">
        <v>369</v>
      </c>
      <c r="D1251" s="1" t="n">
        <v>11</v>
      </c>
      <c r="E1251" s="1" t="n">
        <v>45</v>
      </c>
      <c r="F1251" s="1" t="s">
        <v>45</v>
      </c>
      <c r="G1251" s="1" t="s">
        <v>46</v>
      </c>
      <c r="H1251" s="1" t="n">
        <v>62</v>
      </c>
      <c r="I1251" s="1" t="n">
        <v>6676.78</v>
      </c>
      <c r="J1251" s="1" t="n">
        <v>300</v>
      </c>
    </row>
    <row r="1252" customFormat="false" ht="15" hidden="false" customHeight="true" outlineLevel="0" collapsed="false">
      <c r="A1252" s="1" t="s">
        <v>377</v>
      </c>
      <c r="B1252" s="1" t="s">
        <v>57</v>
      </c>
      <c r="C1252" s="1" t="s">
        <v>369</v>
      </c>
      <c r="D1252" s="1" t="n">
        <v>11</v>
      </c>
      <c r="E1252" s="1" t="n">
        <v>45</v>
      </c>
      <c r="F1252" s="1" t="s">
        <v>47</v>
      </c>
      <c r="G1252" s="1" t="s">
        <v>48</v>
      </c>
      <c r="H1252" s="1" t="n">
        <v>17</v>
      </c>
      <c r="I1252" s="1" t="n">
        <v>1752.19</v>
      </c>
      <c r="J1252" s="1" t="n">
        <v>300</v>
      </c>
    </row>
    <row r="1253" customFormat="false" ht="15" hidden="false" customHeight="true" outlineLevel="0" collapsed="false">
      <c r="A1253" s="1" t="s">
        <v>377</v>
      </c>
      <c r="B1253" s="1" t="s">
        <v>57</v>
      </c>
      <c r="C1253" s="1" t="s">
        <v>369</v>
      </c>
      <c r="D1253" s="1" t="n">
        <v>11</v>
      </c>
      <c r="E1253" s="1" t="n">
        <v>45</v>
      </c>
      <c r="F1253" s="1" t="s">
        <v>49</v>
      </c>
      <c r="G1253" s="1" t="s">
        <v>49</v>
      </c>
      <c r="H1253" s="1" t="n">
        <v>39</v>
      </c>
      <c r="I1253" s="1" t="n">
        <v>3392.61</v>
      </c>
      <c r="J1253" s="1" t="n">
        <v>300</v>
      </c>
    </row>
    <row r="1254" customFormat="false" ht="15" hidden="false" customHeight="true" outlineLevel="0" collapsed="false">
      <c r="A1254" s="1" t="s">
        <v>378</v>
      </c>
      <c r="B1254" s="1" t="s">
        <v>59</v>
      </c>
      <c r="C1254" s="1" t="s">
        <v>369</v>
      </c>
      <c r="D1254" s="1" t="n">
        <v>11</v>
      </c>
      <c r="E1254" s="1" t="n">
        <v>46</v>
      </c>
      <c r="F1254" s="1" t="s">
        <v>43</v>
      </c>
      <c r="G1254" s="1" t="s">
        <v>44</v>
      </c>
      <c r="H1254" s="1" t="n">
        <v>90</v>
      </c>
      <c r="I1254" s="1" t="n">
        <v>10242.9</v>
      </c>
      <c r="J1254" s="1" t="n">
        <v>300</v>
      </c>
    </row>
    <row r="1255" customFormat="false" ht="15" hidden="false" customHeight="true" outlineLevel="0" collapsed="false">
      <c r="A1255" s="1" t="s">
        <v>378</v>
      </c>
      <c r="B1255" s="1" t="s">
        <v>59</v>
      </c>
      <c r="C1255" s="1" t="s">
        <v>369</v>
      </c>
      <c r="D1255" s="1" t="n">
        <v>11</v>
      </c>
      <c r="E1255" s="1" t="n">
        <v>46</v>
      </c>
      <c r="F1255" s="1" t="s">
        <v>45</v>
      </c>
      <c r="G1255" s="1" t="s">
        <v>46</v>
      </c>
      <c r="H1255" s="1" t="n">
        <v>27</v>
      </c>
      <c r="I1255" s="1" t="n">
        <v>3062.07</v>
      </c>
      <c r="J1255" s="1" t="n">
        <v>300</v>
      </c>
    </row>
    <row r="1256" customFormat="false" ht="15" hidden="false" customHeight="true" outlineLevel="0" collapsed="false">
      <c r="A1256" s="1" t="s">
        <v>378</v>
      </c>
      <c r="B1256" s="1" t="s">
        <v>59</v>
      </c>
      <c r="C1256" s="1" t="s">
        <v>369</v>
      </c>
      <c r="D1256" s="1" t="n">
        <v>11</v>
      </c>
      <c r="E1256" s="1" t="n">
        <v>46</v>
      </c>
      <c r="F1256" s="1" t="s">
        <v>47</v>
      </c>
      <c r="G1256" s="1" t="s">
        <v>48</v>
      </c>
      <c r="H1256" s="1" t="n">
        <v>26</v>
      </c>
      <c r="I1256" s="1" t="n">
        <v>2331.94</v>
      </c>
      <c r="J1256" s="1" t="n">
        <v>300</v>
      </c>
    </row>
    <row r="1257" customFormat="false" ht="15" hidden="false" customHeight="true" outlineLevel="0" collapsed="false">
      <c r="A1257" s="1" t="s">
        <v>378</v>
      </c>
      <c r="B1257" s="1" t="s">
        <v>59</v>
      </c>
      <c r="C1257" s="1" t="s">
        <v>369</v>
      </c>
      <c r="D1257" s="1" t="n">
        <v>11</v>
      </c>
      <c r="E1257" s="1" t="n">
        <v>46</v>
      </c>
      <c r="F1257" s="1" t="s">
        <v>49</v>
      </c>
      <c r="G1257" s="1" t="s">
        <v>49</v>
      </c>
      <c r="H1257" s="1" t="n">
        <v>33</v>
      </c>
      <c r="I1257" s="1" t="n">
        <v>3078.24</v>
      </c>
      <c r="J1257" s="1" t="n">
        <v>300</v>
      </c>
    </row>
    <row r="1258" customFormat="false" ht="15" hidden="false" customHeight="true" outlineLevel="0" collapsed="false">
      <c r="A1258" s="1" t="s">
        <v>379</v>
      </c>
      <c r="B1258" s="1" t="s">
        <v>61</v>
      </c>
      <c r="C1258" s="1" t="s">
        <v>369</v>
      </c>
      <c r="D1258" s="1" t="n">
        <v>11</v>
      </c>
      <c r="E1258" s="1" t="n">
        <v>46</v>
      </c>
      <c r="F1258" s="1" t="s">
        <v>43</v>
      </c>
      <c r="G1258" s="1" t="s">
        <v>44</v>
      </c>
      <c r="H1258" s="1" t="n">
        <v>105</v>
      </c>
      <c r="I1258" s="1" t="n">
        <v>12380.55</v>
      </c>
      <c r="J1258" s="1" t="n">
        <v>300</v>
      </c>
    </row>
    <row r="1259" customFormat="false" ht="15" hidden="false" customHeight="true" outlineLevel="0" collapsed="false">
      <c r="A1259" s="1" t="s">
        <v>379</v>
      </c>
      <c r="B1259" s="1" t="s">
        <v>61</v>
      </c>
      <c r="C1259" s="1" t="s">
        <v>369</v>
      </c>
      <c r="D1259" s="1" t="n">
        <v>11</v>
      </c>
      <c r="E1259" s="1" t="n">
        <v>46</v>
      </c>
      <c r="F1259" s="1" t="s">
        <v>45</v>
      </c>
      <c r="G1259" s="1" t="s">
        <v>46</v>
      </c>
      <c r="H1259" s="1" t="n">
        <v>21</v>
      </c>
      <c r="I1259" s="1" t="n">
        <v>2259.81</v>
      </c>
      <c r="J1259" s="1" t="n">
        <v>300</v>
      </c>
    </row>
    <row r="1260" customFormat="false" ht="15" hidden="false" customHeight="true" outlineLevel="0" collapsed="false">
      <c r="A1260" s="1" t="s">
        <v>379</v>
      </c>
      <c r="B1260" s="1" t="s">
        <v>61</v>
      </c>
      <c r="C1260" s="1" t="s">
        <v>369</v>
      </c>
      <c r="D1260" s="1" t="n">
        <v>11</v>
      </c>
      <c r="E1260" s="1" t="n">
        <v>46</v>
      </c>
      <c r="F1260" s="1" t="s">
        <v>47</v>
      </c>
      <c r="G1260" s="1" t="s">
        <v>48</v>
      </c>
      <c r="H1260" s="1" t="n">
        <v>30</v>
      </c>
      <c r="I1260" s="1" t="n">
        <v>2533.2</v>
      </c>
      <c r="J1260" s="1" t="n">
        <v>300</v>
      </c>
    </row>
    <row r="1261" customFormat="false" ht="15" hidden="false" customHeight="true" outlineLevel="0" collapsed="false">
      <c r="A1261" s="1" t="s">
        <v>379</v>
      </c>
      <c r="B1261" s="1" t="s">
        <v>61</v>
      </c>
      <c r="C1261" s="1" t="s">
        <v>369</v>
      </c>
      <c r="D1261" s="1" t="n">
        <v>11</v>
      </c>
      <c r="E1261" s="1" t="n">
        <v>46</v>
      </c>
      <c r="F1261" s="1" t="s">
        <v>49</v>
      </c>
      <c r="G1261" s="1" t="s">
        <v>49</v>
      </c>
      <c r="H1261" s="1" t="n">
        <v>31</v>
      </c>
      <c r="I1261" s="1" t="n">
        <v>2656.7</v>
      </c>
      <c r="J1261" s="1" t="n">
        <v>300</v>
      </c>
    </row>
    <row r="1262" customFormat="false" ht="15" hidden="false" customHeight="true" outlineLevel="0" collapsed="false">
      <c r="A1262" s="1" t="s">
        <v>380</v>
      </c>
      <c r="B1262" s="1" t="s">
        <v>41</v>
      </c>
      <c r="C1262" s="1" t="s">
        <v>369</v>
      </c>
      <c r="D1262" s="1" t="n">
        <v>11</v>
      </c>
      <c r="E1262" s="1" t="n">
        <v>46</v>
      </c>
      <c r="F1262" s="1" t="s">
        <v>43</v>
      </c>
      <c r="G1262" s="1" t="s">
        <v>44</v>
      </c>
      <c r="H1262" s="1" t="n">
        <v>101</v>
      </c>
      <c r="I1262" s="1" t="n">
        <v>14260.19</v>
      </c>
      <c r="J1262" s="1" t="n">
        <v>300</v>
      </c>
    </row>
    <row r="1263" customFormat="false" ht="15" hidden="false" customHeight="true" outlineLevel="0" collapsed="false">
      <c r="A1263" s="1" t="s">
        <v>380</v>
      </c>
      <c r="B1263" s="1" t="s">
        <v>41</v>
      </c>
      <c r="C1263" s="1" t="s">
        <v>369</v>
      </c>
      <c r="D1263" s="1" t="n">
        <v>11</v>
      </c>
      <c r="E1263" s="1" t="n">
        <v>46</v>
      </c>
      <c r="F1263" s="1" t="s">
        <v>45</v>
      </c>
      <c r="G1263" s="1" t="s">
        <v>46</v>
      </c>
      <c r="H1263" s="1" t="n">
        <v>22</v>
      </c>
      <c r="I1263" s="1" t="n">
        <v>2278.1</v>
      </c>
      <c r="J1263" s="1" t="n">
        <v>300</v>
      </c>
    </row>
    <row r="1264" customFormat="false" ht="15" hidden="false" customHeight="true" outlineLevel="0" collapsed="false">
      <c r="A1264" s="1" t="s">
        <v>380</v>
      </c>
      <c r="B1264" s="1" t="s">
        <v>41</v>
      </c>
      <c r="C1264" s="1" t="s">
        <v>369</v>
      </c>
      <c r="D1264" s="1" t="n">
        <v>11</v>
      </c>
      <c r="E1264" s="1" t="n">
        <v>46</v>
      </c>
      <c r="F1264" s="1" t="s">
        <v>47</v>
      </c>
      <c r="G1264" s="1" t="s">
        <v>48</v>
      </c>
      <c r="H1264" s="1" t="n">
        <v>32</v>
      </c>
      <c r="I1264" s="1" t="n">
        <v>3207.68</v>
      </c>
      <c r="J1264" s="1" t="n">
        <v>300</v>
      </c>
    </row>
    <row r="1265" customFormat="false" ht="15" hidden="false" customHeight="true" outlineLevel="0" collapsed="false">
      <c r="A1265" s="1" t="s">
        <v>380</v>
      </c>
      <c r="B1265" s="1" t="s">
        <v>41</v>
      </c>
      <c r="C1265" s="1" t="s">
        <v>369</v>
      </c>
      <c r="D1265" s="1" t="n">
        <v>11</v>
      </c>
      <c r="E1265" s="1" t="n">
        <v>46</v>
      </c>
      <c r="F1265" s="1" t="s">
        <v>49</v>
      </c>
      <c r="G1265" s="1" t="s">
        <v>49</v>
      </c>
      <c r="H1265" s="1" t="n">
        <v>33</v>
      </c>
      <c r="I1265" s="1" t="n">
        <v>3088.8</v>
      </c>
      <c r="J1265" s="1" t="n">
        <v>300</v>
      </c>
    </row>
    <row r="1266" customFormat="false" ht="15" hidden="false" customHeight="true" outlineLevel="0" collapsed="false">
      <c r="A1266" s="1" t="s">
        <v>381</v>
      </c>
      <c r="B1266" s="1" t="s">
        <v>51</v>
      </c>
      <c r="C1266" s="1" t="s">
        <v>369</v>
      </c>
      <c r="D1266" s="1" t="n">
        <v>11</v>
      </c>
      <c r="E1266" s="1" t="n">
        <v>46</v>
      </c>
      <c r="F1266" s="1" t="s">
        <v>43</v>
      </c>
      <c r="G1266" s="1" t="s">
        <v>44</v>
      </c>
      <c r="H1266" s="1" t="n">
        <v>118</v>
      </c>
      <c r="I1266" s="1" t="n">
        <v>13171.16</v>
      </c>
      <c r="J1266" s="1" t="n">
        <v>300</v>
      </c>
    </row>
    <row r="1267" customFormat="false" ht="15" hidden="false" customHeight="true" outlineLevel="0" collapsed="false">
      <c r="A1267" s="1" t="s">
        <v>381</v>
      </c>
      <c r="B1267" s="1" t="s">
        <v>51</v>
      </c>
      <c r="C1267" s="1" t="s">
        <v>369</v>
      </c>
      <c r="D1267" s="1" t="n">
        <v>11</v>
      </c>
      <c r="E1267" s="1" t="n">
        <v>46</v>
      </c>
      <c r="F1267" s="1" t="s">
        <v>45</v>
      </c>
      <c r="G1267" s="1" t="s">
        <v>46</v>
      </c>
      <c r="H1267" s="1" t="n">
        <v>22</v>
      </c>
      <c r="I1267" s="1" t="n">
        <v>2192.74</v>
      </c>
      <c r="J1267" s="1" t="n">
        <v>300</v>
      </c>
    </row>
    <row r="1268" customFormat="false" ht="15" hidden="false" customHeight="true" outlineLevel="0" collapsed="false">
      <c r="A1268" s="1" t="s">
        <v>381</v>
      </c>
      <c r="B1268" s="1" t="s">
        <v>51</v>
      </c>
      <c r="C1268" s="1" t="s">
        <v>369</v>
      </c>
      <c r="D1268" s="1" t="n">
        <v>11</v>
      </c>
      <c r="E1268" s="1" t="n">
        <v>46</v>
      </c>
      <c r="F1268" s="1" t="s">
        <v>47</v>
      </c>
      <c r="G1268" s="1" t="s">
        <v>48</v>
      </c>
      <c r="H1268" s="1" t="n">
        <v>31</v>
      </c>
      <c r="I1268" s="1" t="n">
        <v>2853.55</v>
      </c>
      <c r="J1268" s="1" t="n">
        <v>300</v>
      </c>
    </row>
    <row r="1269" customFormat="false" ht="15" hidden="false" customHeight="true" outlineLevel="0" collapsed="false">
      <c r="A1269" s="1" t="s">
        <v>381</v>
      </c>
      <c r="B1269" s="1" t="s">
        <v>51</v>
      </c>
      <c r="C1269" s="1" t="s">
        <v>369</v>
      </c>
      <c r="D1269" s="1" t="n">
        <v>11</v>
      </c>
      <c r="E1269" s="1" t="n">
        <v>46</v>
      </c>
      <c r="F1269" s="1" t="s">
        <v>49</v>
      </c>
      <c r="G1269" s="1" t="s">
        <v>49</v>
      </c>
      <c r="H1269" s="1" t="n">
        <v>30</v>
      </c>
      <c r="I1269" s="1" t="n">
        <v>2661.3</v>
      </c>
      <c r="J1269" s="1" t="n">
        <v>300</v>
      </c>
    </row>
    <row r="1270" customFormat="false" ht="15" hidden="false" customHeight="true" outlineLevel="0" collapsed="false">
      <c r="A1270" s="1" t="s">
        <v>382</v>
      </c>
      <c r="B1270" s="1" t="s">
        <v>53</v>
      </c>
      <c r="C1270" s="1" t="s">
        <v>369</v>
      </c>
      <c r="D1270" s="1" t="n">
        <v>11</v>
      </c>
      <c r="E1270" s="1" t="n">
        <v>46</v>
      </c>
      <c r="F1270" s="1" t="s">
        <v>43</v>
      </c>
      <c r="G1270" s="1" t="s">
        <v>44</v>
      </c>
      <c r="H1270" s="1" t="n">
        <v>109</v>
      </c>
      <c r="I1270" s="1" t="n">
        <v>13771.06</v>
      </c>
      <c r="J1270" s="1" t="n">
        <v>300</v>
      </c>
    </row>
    <row r="1271" customFormat="false" ht="15" hidden="false" customHeight="true" outlineLevel="0" collapsed="false">
      <c r="A1271" s="1" t="s">
        <v>382</v>
      </c>
      <c r="B1271" s="1" t="s">
        <v>53</v>
      </c>
      <c r="C1271" s="1" t="s">
        <v>369</v>
      </c>
      <c r="D1271" s="1" t="n">
        <v>11</v>
      </c>
      <c r="E1271" s="1" t="n">
        <v>46</v>
      </c>
      <c r="F1271" s="1" t="s">
        <v>45</v>
      </c>
      <c r="G1271" s="1" t="s">
        <v>46</v>
      </c>
      <c r="H1271" s="1" t="n">
        <v>19</v>
      </c>
      <c r="I1271" s="1" t="n">
        <v>2011.72</v>
      </c>
      <c r="J1271" s="1" t="n">
        <v>300</v>
      </c>
    </row>
    <row r="1272" customFormat="false" ht="15" hidden="false" customHeight="true" outlineLevel="0" collapsed="false">
      <c r="A1272" s="1" t="s">
        <v>382</v>
      </c>
      <c r="B1272" s="1" t="s">
        <v>53</v>
      </c>
      <c r="C1272" s="1" t="s">
        <v>369</v>
      </c>
      <c r="D1272" s="1" t="n">
        <v>11</v>
      </c>
      <c r="E1272" s="1" t="n">
        <v>46</v>
      </c>
      <c r="F1272" s="1" t="s">
        <v>47</v>
      </c>
      <c r="G1272" s="1" t="s">
        <v>48</v>
      </c>
      <c r="H1272" s="1" t="n">
        <v>28</v>
      </c>
      <c r="I1272" s="1" t="n">
        <v>2521.68</v>
      </c>
      <c r="J1272" s="1" t="n">
        <v>300</v>
      </c>
    </row>
    <row r="1273" customFormat="false" ht="15" hidden="false" customHeight="true" outlineLevel="0" collapsed="false">
      <c r="A1273" s="1" t="s">
        <v>382</v>
      </c>
      <c r="B1273" s="1" t="s">
        <v>53</v>
      </c>
      <c r="C1273" s="1" t="s">
        <v>369</v>
      </c>
      <c r="D1273" s="1" t="n">
        <v>11</v>
      </c>
      <c r="E1273" s="1" t="n">
        <v>46</v>
      </c>
      <c r="F1273" s="1" t="s">
        <v>49</v>
      </c>
      <c r="G1273" s="1" t="s">
        <v>49</v>
      </c>
      <c r="H1273" s="1" t="n">
        <v>31</v>
      </c>
      <c r="I1273" s="1" t="n">
        <v>2747.84</v>
      </c>
      <c r="J1273" s="1" t="n">
        <v>300</v>
      </c>
    </row>
    <row r="1274" customFormat="false" ht="15" hidden="false" customHeight="true" outlineLevel="0" collapsed="false">
      <c r="A1274" s="1" t="s">
        <v>383</v>
      </c>
      <c r="B1274" s="1" t="s">
        <v>55</v>
      </c>
      <c r="C1274" s="1" t="s">
        <v>369</v>
      </c>
      <c r="D1274" s="1" t="n">
        <v>11</v>
      </c>
      <c r="E1274" s="1" t="n">
        <v>46</v>
      </c>
      <c r="F1274" s="1" t="s">
        <v>43</v>
      </c>
      <c r="G1274" s="1" t="s">
        <v>44</v>
      </c>
      <c r="H1274" s="1" t="n">
        <v>23</v>
      </c>
      <c r="I1274" s="1" t="n">
        <v>2825.55</v>
      </c>
      <c r="J1274" s="1" t="n">
        <v>300</v>
      </c>
    </row>
    <row r="1275" customFormat="false" ht="15" hidden="false" customHeight="true" outlineLevel="0" collapsed="false">
      <c r="A1275" s="1" t="s">
        <v>383</v>
      </c>
      <c r="B1275" s="1" t="s">
        <v>55</v>
      </c>
      <c r="C1275" s="1" t="s">
        <v>369</v>
      </c>
      <c r="D1275" s="1" t="n">
        <v>11</v>
      </c>
      <c r="E1275" s="1" t="n">
        <v>46</v>
      </c>
      <c r="F1275" s="1" t="s">
        <v>45</v>
      </c>
      <c r="G1275" s="1" t="s">
        <v>46</v>
      </c>
      <c r="H1275" s="1" t="n">
        <v>51</v>
      </c>
      <c r="I1275" s="1" t="n">
        <v>5199.96</v>
      </c>
      <c r="J1275" s="1" t="n">
        <v>300</v>
      </c>
    </row>
    <row r="1276" customFormat="false" ht="15" hidden="false" customHeight="true" outlineLevel="0" collapsed="false">
      <c r="A1276" s="1" t="s">
        <v>383</v>
      </c>
      <c r="B1276" s="1" t="s">
        <v>55</v>
      </c>
      <c r="C1276" s="1" t="s">
        <v>369</v>
      </c>
      <c r="D1276" s="1" t="n">
        <v>11</v>
      </c>
      <c r="E1276" s="1" t="n">
        <v>46</v>
      </c>
      <c r="F1276" s="1" t="s">
        <v>47</v>
      </c>
      <c r="G1276" s="1" t="s">
        <v>48</v>
      </c>
      <c r="H1276" s="1" t="n">
        <v>17</v>
      </c>
      <c r="I1276" s="1" t="n">
        <v>1863.54</v>
      </c>
      <c r="J1276" s="1" t="n">
        <v>300</v>
      </c>
    </row>
    <row r="1277" customFormat="false" ht="15" hidden="false" customHeight="true" outlineLevel="0" collapsed="false">
      <c r="A1277" s="1" t="s">
        <v>383</v>
      </c>
      <c r="B1277" s="1" t="s">
        <v>55</v>
      </c>
      <c r="C1277" s="1" t="s">
        <v>369</v>
      </c>
      <c r="D1277" s="1" t="n">
        <v>11</v>
      </c>
      <c r="E1277" s="1" t="n">
        <v>46</v>
      </c>
      <c r="F1277" s="1" t="s">
        <v>49</v>
      </c>
      <c r="G1277" s="1" t="s">
        <v>49</v>
      </c>
      <c r="H1277" s="1" t="n">
        <v>34</v>
      </c>
      <c r="I1277" s="1" t="n">
        <v>2724.42</v>
      </c>
      <c r="J1277" s="1" t="n">
        <v>300</v>
      </c>
    </row>
    <row r="1278" customFormat="false" ht="15" hidden="false" customHeight="true" outlineLevel="0" collapsed="false">
      <c r="A1278" s="1" t="s">
        <v>384</v>
      </c>
      <c r="B1278" s="1" t="s">
        <v>57</v>
      </c>
      <c r="C1278" s="1" t="s">
        <v>369</v>
      </c>
      <c r="D1278" s="1" t="n">
        <v>11</v>
      </c>
      <c r="E1278" s="1" t="n">
        <v>46</v>
      </c>
      <c r="F1278" s="1" t="s">
        <v>43</v>
      </c>
      <c r="G1278" s="1" t="s">
        <v>44</v>
      </c>
      <c r="H1278" s="1" t="n">
        <v>22</v>
      </c>
      <c r="I1278" s="1" t="n">
        <v>2695.88</v>
      </c>
      <c r="J1278" s="1" t="n">
        <v>300</v>
      </c>
    </row>
    <row r="1279" customFormat="false" ht="15" hidden="false" customHeight="true" outlineLevel="0" collapsed="false">
      <c r="A1279" s="1" t="s">
        <v>384</v>
      </c>
      <c r="B1279" s="1" t="s">
        <v>57</v>
      </c>
      <c r="C1279" s="1" t="s">
        <v>369</v>
      </c>
      <c r="D1279" s="1" t="n">
        <v>11</v>
      </c>
      <c r="E1279" s="1" t="n">
        <v>46</v>
      </c>
      <c r="F1279" s="1" t="s">
        <v>45</v>
      </c>
      <c r="G1279" s="1" t="s">
        <v>46</v>
      </c>
      <c r="H1279" s="1" t="n">
        <v>53</v>
      </c>
      <c r="I1279" s="1" t="n">
        <v>5772.76</v>
      </c>
      <c r="J1279" s="1" t="n">
        <v>300</v>
      </c>
    </row>
    <row r="1280" customFormat="false" ht="15" hidden="false" customHeight="true" outlineLevel="0" collapsed="false">
      <c r="A1280" s="1" t="s">
        <v>384</v>
      </c>
      <c r="B1280" s="1" t="s">
        <v>57</v>
      </c>
      <c r="C1280" s="1" t="s">
        <v>369</v>
      </c>
      <c r="D1280" s="1" t="n">
        <v>11</v>
      </c>
      <c r="E1280" s="1" t="n">
        <v>46</v>
      </c>
      <c r="F1280" s="1" t="s">
        <v>47</v>
      </c>
      <c r="G1280" s="1" t="s">
        <v>48</v>
      </c>
      <c r="H1280" s="1" t="n">
        <v>12</v>
      </c>
      <c r="I1280" s="1" t="n">
        <v>1169.28</v>
      </c>
      <c r="J1280" s="1" t="n">
        <v>300</v>
      </c>
    </row>
    <row r="1281" customFormat="false" ht="15" hidden="false" customHeight="true" outlineLevel="0" collapsed="false">
      <c r="A1281" s="1" t="s">
        <v>384</v>
      </c>
      <c r="B1281" s="1" t="s">
        <v>57</v>
      </c>
      <c r="C1281" s="1" t="s">
        <v>369</v>
      </c>
      <c r="D1281" s="1" t="n">
        <v>11</v>
      </c>
      <c r="E1281" s="1" t="n">
        <v>46</v>
      </c>
      <c r="F1281" s="1" t="s">
        <v>49</v>
      </c>
      <c r="G1281" s="1" t="s">
        <v>49</v>
      </c>
      <c r="H1281" s="1" t="n">
        <v>41</v>
      </c>
      <c r="I1281" s="1" t="n">
        <v>3908.12</v>
      </c>
      <c r="J1281" s="1" t="n">
        <v>300</v>
      </c>
    </row>
    <row r="1282" customFormat="false" ht="15" hidden="false" customHeight="true" outlineLevel="0" collapsed="false">
      <c r="A1282" s="1" t="s">
        <v>385</v>
      </c>
      <c r="B1282" s="1" t="s">
        <v>59</v>
      </c>
      <c r="C1282" s="1" t="s">
        <v>369</v>
      </c>
      <c r="D1282" s="1" t="n">
        <v>11</v>
      </c>
      <c r="E1282" s="1" t="n">
        <v>47</v>
      </c>
      <c r="F1282" s="1" t="s">
        <v>43</v>
      </c>
      <c r="G1282" s="1" t="s">
        <v>44</v>
      </c>
      <c r="H1282" s="1" t="n">
        <v>91</v>
      </c>
      <c r="I1282" s="1" t="n">
        <v>10952.76</v>
      </c>
      <c r="J1282" s="1" t="n">
        <v>300</v>
      </c>
    </row>
    <row r="1283" customFormat="false" ht="15" hidden="false" customHeight="true" outlineLevel="0" collapsed="false">
      <c r="A1283" s="1" t="s">
        <v>385</v>
      </c>
      <c r="B1283" s="1" t="s">
        <v>59</v>
      </c>
      <c r="C1283" s="1" t="s">
        <v>369</v>
      </c>
      <c r="D1283" s="1" t="n">
        <v>11</v>
      </c>
      <c r="E1283" s="1" t="n">
        <v>47</v>
      </c>
      <c r="F1283" s="1" t="s">
        <v>45</v>
      </c>
      <c r="G1283" s="1" t="s">
        <v>46</v>
      </c>
      <c r="H1283" s="1" t="n">
        <v>19</v>
      </c>
      <c r="I1283" s="1" t="n">
        <v>2035.85</v>
      </c>
      <c r="J1283" s="1" t="n">
        <v>300</v>
      </c>
    </row>
    <row r="1284" customFormat="false" ht="15" hidden="false" customHeight="true" outlineLevel="0" collapsed="false">
      <c r="A1284" s="1" t="s">
        <v>385</v>
      </c>
      <c r="B1284" s="1" t="s">
        <v>59</v>
      </c>
      <c r="C1284" s="1" t="s">
        <v>369</v>
      </c>
      <c r="D1284" s="1" t="n">
        <v>11</v>
      </c>
      <c r="E1284" s="1" t="n">
        <v>47</v>
      </c>
      <c r="F1284" s="1" t="s">
        <v>47</v>
      </c>
      <c r="G1284" s="1" t="s">
        <v>48</v>
      </c>
      <c r="H1284" s="1" t="n">
        <v>27</v>
      </c>
      <c r="I1284" s="1" t="n">
        <v>2565.81</v>
      </c>
      <c r="J1284" s="1" t="n">
        <v>300</v>
      </c>
    </row>
    <row r="1285" customFormat="false" ht="15" hidden="false" customHeight="true" outlineLevel="0" collapsed="false">
      <c r="A1285" s="1" t="s">
        <v>385</v>
      </c>
      <c r="B1285" s="1" t="s">
        <v>59</v>
      </c>
      <c r="C1285" s="1" t="s">
        <v>369</v>
      </c>
      <c r="D1285" s="1" t="n">
        <v>11</v>
      </c>
      <c r="E1285" s="1" t="n">
        <v>47</v>
      </c>
      <c r="F1285" s="1" t="s">
        <v>49</v>
      </c>
      <c r="G1285" s="1" t="s">
        <v>49</v>
      </c>
      <c r="H1285" s="1" t="n">
        <v>29</v>
      </c>
      <c r="I1285" s="1" t="n">
        <v>2721.36</v>
      </c>
      <c r="J1285" s="1" t="n">
        <v>300</v>
      </c>
    </row>
    <row r="1286" customFormat="false" ht="15" hidden="false" customHeight="true" outlineLevel="0" collapsed="false">
      <c r="A1286" s="1" t="s">
        <v>386</v>
      </c>
      <c r="B1286" s="1" t="s">
        <v>61</v>
      </c>
      <c r="C1286" s="1" t="s">
        <v>369</v>
      </c>
      <c r="D1286" s="1" t="n">
        <v>11</v>
      </c>
      <c r="E1286" s="1" t="n">
        <v>47</v>
      </c>
      <c r="F1286" s="1" t="s">
        <v>43</v>
      </c>
      <c r="G1286" s="1" t="s">
        <v>44</v>
      </c>
      <c r="H1286" s="1" t="n">
        <v>107</v>
      </c>
      <c r="I1286" s="1" t="n">
        <v>12631.35</v>
      </c>
      <c r="J1286" s="1" t="n">
        <v>300</v>
      </c>
    </row>
    <row r="1287" customFormat="false" ht="15" hidden="false" customHeight="true" outlineLevel="0" collapsed="false">
      <c r="A1287" s="1" t="s">
        <v>386</v>
      </c>
      <c r="B1287" s="1" t="s">
        <v>61</v>
      </c>
      <c r="C1287" s="1" t="s">
        <v>369</v>
      </c>
      <c r="D1287" s="1" t="n">
        <v>11</v>
      </c>
      <c r="E1287" s="1" t="n">
        <v>47</v>
      </c>
      <c r="F1287" s="1" t="s">
        <v>45</v>
      </c>
      <c r="G1287" s="1" t="s">
        <v>46</v>
      </c>
      <c r="H1287" s="1" t="n">
        <v>21</v>
      </c>
      <c r="I1287" s="1" t="n">
        <v>2023.56</v>
      </c>
      <c r="J1287" s="1" t="n">
        <v>300</v>
      </c>
    </row>
    <row r="1288" customFormat="false" ht="15" hidden="false" customHeight="true" outlineLevel="0" collapsed="false">
      <c r="A1288" s="1" t="s">
        <v>386</v>
      </c>
      <c r="B1288" s="1" t="s">
        <v>61</v>
      </c>
      <c r="C1288" s="1" t="s">
        <v>369</v>
      </c>
      <c r="D1288" s="1" t="n">
        <v>11</v>
      </c>
      <c r="E1288" s="1" t="n">
        <v>47</v>
      </c>
      <c r="F1288" s="1" t="s">
        <v>47</v>
      </c>
      <c r="G1288" s="1" t="s">
        <v>48</v>
      </c>
      <c r="H1288" s="1" t="n">
        <v>29</v>
      </c>
      <c r="I1288" s="1" t="n">
        <v>2816.48</v>
      </c>
      <c r="J1288" s="1" t="n">
        <v>300</v>
      </c>
    </row>
    <row r="1289" customFormat="false" ht="15" hidden="false" customHeight="true" outlineLevel="0" collapsed="false">
      <c r="A1289" s="1" t="s">
        <v>386</v>
      </c>
      <c r="B1289" s="1" t="s">
        <v>61</v>
      </c>
      <c r="C1289" s="1" t="s">
        <v>369</v>
      </c>
      <c r="D1289" s="1" t="n">
        <v>11</v>
      </c>
      <c r="E1289" s="1" t="n">
        <v>47</v>
      </c>
      <c r="F1289" s="1" t="s">
        <v>49</v>
      </c>
      <c r="G1289" s="1" t="s">
        <v>49</v>
      </c>
      <c r="H1289" s="1" t="n">
        <v>39</v>
      </c>
      <c r="I1289" s="1" t="n">
        <v>3287.31</v>
      </c>
      <c r="J1289" s="1" t="n">
        <v>300</v>
      </c>
    </row>
    <row r="1290" customFormat="false" ht="15" hidden="false" customHeight="true" outlineLevel="0" collapsed="false">
      <c r="A1290" s="1" t="s">
        <v>387</v>
      </c>
      <c r="B1290" s="1" t="s">
        <v>41</v>
      </c>
      <c r="C1290" s="1" t="s">
        <v>369</v>
      </c>
      <c r="D1290" s="1" t="n">
        <v>11</v>
      </c>
      <c r="E1290" s="1" t="n">
        <v>47</v>
      </c>
      <c r="F1290" s="1" t="s">
        <v>43</v>
      </c>
      <c r="G1290" s="1" t="s">
        <v>44</v>
      </c>
      <c r="H1290" s="1" t="n">
        <v>113</v>
      </c>
      <c r="I1290" s="1" t="n">
        <v>14339.7</v>
      </c>
      <c r="J1290" s="1" t="n">
        <v>300</v>
      </c>
    </row>
    <row r="1291" customFormat="false" ht="15" hidden="false" customHeight="true" outlineLevel="0" collapsed="false">
      <c r="A1291" s="1" t="s">
        <v>387</v>
      </c>
      <c r="B1291" s="1" t="s">
        <v>41</v>
      </c>
      <c r="C1291" s="1" t="s">
        <v>369</v>
      </c>
      <c r="D1291" s="1" t="n">
        <v>11</v>
      </c>
      <c r="E1291" s="1" t="n">
        <v>47</v>
      </c>
      <c r="F1291" s="1" t="s">
        <v>45</v>
      </c>
      <c r="G1291" s="1" t="s">
        <v>46</v>
      </c>
      <c r="H1291" s="1" t="n">
        <v>22</v>
      </c>
      <c r="I1291" s="1" t="n">
        <v>2566.74</v>
      </c>
      <c r="J1291" s="1" t="n">
        <v>300</v>
      </c>
    </row>
    <row r="1292" customFormat="false" ht="15" hidden="false" customHeight="true" outlineLevel="0" collapsed="false">
      <c r="A1292" s="1" t="s">
        <v>387</v>
      </c>
      <c r="B1292" s="1" t="s">
        <v>41</v>
      </c>
      <c r="C1292" s="1" t="s">
        <v>369</v>
      </c>
      <c r="D1292" s="1" t="n">
        <v>11</v>
      </c>
      <c r="E1292" s="1" t="n">
        <v>47</v>
      </c>
      <c r="F1292" s="1" t="s">
        <v>47</v>
      </c>
      <c r="G1292" s="1" t="s">
        <v>48</v>
      </c>
      <c r="H1292" s="1" t="n">
        <v>30</v>
      </c>
      <c r="I1292" s="1" t="n">
        <v>2990.7</v>
      </c>
      <c r="J1292" s="1" t="n">
        <v>300</v>
      </c>
    </row>
    <row r="1293" customFormat="false" ht="15" hidden="false" customHeight="true" outlineLevel="0" collapsed="false">
      <c r="A1293" s="1" t="s">
        <v>387</v>
      </c>
      <c r="B1293" s="1" t="s">
        <v>41</v>
      </c>
      <c r="C1293" s="1" t="s">
        <v>369</v>
      </c>
      <c r="D1293" s="1" t="n">
        <v>11</v>
      </c>
      <c r="E1293" s="1" t="n">
        <v>47</v>
      </c>
      <c r="F1293" s="1" t="s">
        <v>49</v>
      </c>
      <c r="G1293" s="1" t="s">
        <v>49</v>
      </c>
      <c r="H1293" s="1" t="n">
        <v>31</v>
      </c>
      <c r="I1293" s="1" t="n">
        <v>3005.14</v>
      </c>
      <c r="J1293" s="1" t="n">
        <v>300</v>
      </c>
    </row>
    <row r="1294" customFormat="false" ht="15" hidden="false" customHeight="true" outlineLevel="0" collapsed="false">
      <c r="A1294" s="1" t="s">
        <v>388</v>
      </c>
      <c r="B1294" s="1" t="s">
        <v>51</v>
      </c>
      <c r="C1294" s="1" t="s">
        <v>369</v>
      </c>
      <c r="D1294" s="1" t="n">
        <v>11</v>
      </c>
      <c r="E1294" s="1" t="n">
        <v>47</v>
      </c>
      <c r="F1294" s="1" t="s">
        <v>43</v>
      </c>
      <c r="G1294" s="1" t="s">
        <v>44</v>
      </c>
      <c r="H1294" s="1" t="n">
        <v>110</v>
      </c>
      <c r="I1294" s="1" t="n">
        <v>12676.4</v>
      </c>
      <c r="J1294" s="1" t="n">
        <v>300</v>
      </c>
    </row>
    <row r="1295" customFormat="false" ht="15" hidden="false" customHeight="true" outlineLevel="0" collapsed="false">
      <c r="A1295" s="1" t="s">
        <v>388</v>
      </c>
      <c r="B1295" s="1" t="s">
        <v>51</v>
      </c>
      <c r="C1295" s="1" t="s">
        <v>369</v>
      </c>
      <c r="D1295" s="1" t="n">
        <v>11</v>
      </c>
      <c r="E1295" s="1" t="n">
        <v>47</v>
      </c>
      <c r="F1295" s="1" t="s">
        <v>45</v>
      </c>
      <c r="G1295" s="1" t="s">
        <v>46</v>
      </c>
      <c r="H1295" s="1" t="n">
        <v>19</v>
      </c>
      <c r="I1295" s="1" t="n">
        <v>1980.75</v>
      </c>
      <c r="J1295" s="1" t="n">
        <v>300</v>
      </c>
    </row>
    <row r="1296" customFormat="false" ht="15" hidden="false" customHeight="true" outlineLevel="0" collapsed="false">
      <c r="A1296" s="1" t="s">
        <v>388</v>
      </c>
      <c r="B1296" s="1" t="s">
        <v>51</v>
      </c>
      <c r="C1296" s="1" t="s">
        <v>369</v>
      </c>
      <c r="D1296" s="1" t="n">
        <v>11</v>
      </c>
      <c r="E1296" s="1" t="n">
        <v>47</v>
      </c>
      <c r="F1296" s="1" t="s">
        <v>47</v>
      </c>
      <c r="G1296" s="1" t="s">
        <v>48</v>
      </c>
      <c r="H1296" s="1" t="n">
        <v>27</v>
      </c>
      <c r="I1296" s="1" t="n">
        <v>2620.08</v>
      </c>
      <c r="J1296" s="1" t="n">
        <v>300</v>
      </c>
    </row>
    <row r="1297" customFormat="false" ht="15" hidden="false" customHeight="true" outlineLevel="0" collapsed="false">
      <c r="A1297" s="1" t="s">
        <v>388</v>
      </c>
      <c r="B1297" s="1" t="s">
        <v>51</v>
      </c>
      <c r="C1297" s="1" t="s">
        <v>369</v>
      </c>
      <c r="D1297" s="1" t="n">
        <v>11</v>
      </c>
      <c r="E1297" s="1" t="n">
        <v>47</v>
      </c>
      <c r="F1297" s="1" t="s">
        <v>49</v>
      </c>
      <c r="G1297" s="1" t="s">
        <v>49</v>
      </c>
      <c r="H1297" s="1" t="n">
        <v>35</v>
      </c>
      <c r="I1297" s="1" t="n">
        <v>3074.05</v>
      </c>
      <c r="J1297" s="1" t="n">
        <v>300</v>
      </c>
    </row>
    <row r="1298" customFormat="false" ht="15" hidden="false" customHeight="true" outlineLevel="0" collapsed="false">
      <c r="A1298" s="1" t="s">
        <v>389</v>
      </c>
      <c r="B1298" s="1" t="s">
        <v>53</v>
      </c>
      <c r="C1298" s="1" t="s">
        <v>369</v>
      </c>
      <c r="D1298" s="1" t="n">
        <v>11</v>
      </c>
      <c r="E1298" s="1" t="n">
        <v>47</v>
      </c>
      <c r="F1298" s="1" t="s">
        <v>43</v>
      </c>
      <c r="G1298" s="1" t="s">
        <v>44</v>
      </c>
      <c r="H1298" s="1" t="n">
        <v>99</v>
      </c>
      <c r="I1298" s="1" t="n">
        <v>11895.84</v>
      </c>
      <c r="J1298" s="1" t="n">
        <v>300</v>
      </c>
    </row>
    <row r="1299" customFormat="false" ht="15" hidden="false" customHeight="true" outlineLevel="0" collapsed="false">
      <c r="A1299" s="1" t="s">
        <v>389</v>
      </c>
      <c r="B1299" s="1" t="s">
        <v>53</v>
      </c>
      <c r="C1299" s="1" t="s">
        <v>369</v>
      </c>
      <c r="D1299" s="1" t="n">
        <v>11</v>
      </c>
      <c r="E1299" s="1" t="n">
        <v>47</v>
      </c>
      <c r="F1299" s="1" t="s">
        <v>45</v>
      </c>
      <c r="G1299" s="1" t="s">
        <v>46</v>
      </c>
      <c r="H1299" s="1" t="n">
        <v>23</v>
      </c>
      <c r="I1299" s="1" t="n">
        <v>2100.13</v>
      </c>
      <c r="J1299" s="1" t="n">
        <v>300</v>
      </c>
    </row>
    <row r="1300" customFormat="false" ht="15" hidden="false" customHeight="true" outlineLevel="0" collapsed="false">
      <c r="A1300" s="1" t="s">
        <v>389</v>
      </c>
      <c r="B1300" s="1" t="s">
        <v>53</v>
      </c>
      <c r="C1300" s="1" t="s">
        <v>369</v>
      </c>
      <c r="D1300" s="1" t="n">
        <v>11</v>
      </c>
      <c r="E1300" s="1" t="n">
        <v>47</v>
      </c>
      <c r="F1300" s="1" t="s">
        <v>47</v>
      </c>
      <c r="G1300" s="1" t="s">
        <v>48</v>
      </c>
      <c r="H1300" s="1" t="n">
        <v>28</v>
      </c>
      <c r="I1300" s="1" t="n">
        <v>2762.2</v>
      </c>
      <c r="J1300" s="1" t="n">
        <v>300</v>
      </c>
    </row>
    <row r="1301" customFormat="false" ht="15" hidden="false" customHeight="true" outlineLevel="0" collapsed="false">
      <c r="A1301" s="1" t="s">
        <v>389</v>
      </c>
      <c r="B1301" s="1" t="s">
        <v>53</v>
      </c>
      <c r="C1301" s="1" t="s">
        <v>369</v>
      </c>
      <c r="D1301" s="1" t="n">
        <v>11</v>
      </c>
      <c r="E1301" s="1" t="n">
        <v>47</v>
      </c>
      <c r="F1301" s="1" t="s">
        <v>49</v>
      </c>
      <c r="G1301" s="1" t="s">
        <v>49</v>
      </c>
      <c r="H1301" s="1" t="n">
        <v>35</v>
      </c>
      <c r="I1301" s="1" t="n">
        <v>3067.75</v>
      </c>
      <c r="J1301" s="1" t="n">
        <v>300</v>
      </c>
    </row>
    <row r="1302" customFormat="false" ht="15" hidden="false" customHeight="true" outlineLevel="0" collapsed="false">
      <c r="A1302" s="1" t="s">
        <v>390</v>
      </c>
      <c r="B1302" s="1" t="s">
        <v>55</v>
      </c>
      <c r="C1302" s="1" t="s">
        <v>369</v>
      </c>
      <c r="D1302" s="1" t="n">
        <v>11</v>
      </c>
      <c r="E1302" s="1" t="n">
        <v>47</v>
      </c>
      <c r="F1302" s="1" t="s">
        <v>43</v>
      </c>
      <c r="G1302" s="1" t="s">
        <v>44</v>
      </c>
      <c r="H1302" s="1" t="n">
        <v>16</v>
      </c>
      <c r="I1302" s="1" t="n">
        <v>1987.04</v>
      </c>
      <c r="J1302" s="1" t="n">
        <v>300</v>
      </c>
    </row>
    <row r="1303" customFormat="false" ht="15" hidden="false" customHeight="true" outlineLevel="0" collapsed="false">
      <c r="A1303" s="1" t="s">
        <v>390</v>
      </c>
      <c r="B1303" s="1" t="s">
        <v>55</v>
      </c>
      <c r="C1303" s="1" t="s">
        <v>369</v>
      </c>
      <c r="D1303" s="1" t="n">
        <v>11</v>
      </c>
      <c r="E1303" s="1" t="n">
        <v>47</v>
      </c>
      <c r="F1303" s="1" t="s">
        <v>45</v>
      </c>
      <c r="G1303" s="1" t="s">
        <v>46</v>
      </c>
      <c r="H1303" s="1" t="n">
        <v>54</v>
      </c>
      <c r="I1303" s="1" t="n">
        <v>5292</v>
      </c>
      <c r="J1303" s="1" t="n">
        <v>300</v>
      </c>
    </row>
    <row r="1304" customFormat="false" ht="15" hidden="false" customHeight="true" outlineLevel="0" collapsed="false">
      <c r="A1304" s="1" t="s">
        <v>390</v>
      </c>
      <c r="B1304" s="1" t="s">
        <v>55</v>
      </c>
      <c r="C1304" s="1" t="s">
        <v>369</v>
      </c>
      <c r="D1304" s="1" t="n">
        <v>11</v>
      </c>
      <c r="E1304" s="1" t="n">
        <v>47</v>
      </c>
      <c r="F1304" s="1" t="s">
        <v>47</v>
      </c>
      <c r="G1304" s="1" t="s">
        <v>48</v>
      </c>
      <c r="H1304" s="1" t="n">
        <v>15</v>
      </c>
      <c r="I1304" s="1" t="n">
        <v>1445.1</v>
      </c>
      <c r="J1304" s="1" t="n">
        <v>300</v>
      </c>
    </row>
    <row r="1305" customFormat="false" ht="15" hidden="false" customHeight="true" outlineLevel="0" collapsed="false">
      <c r="A1305" s="1" t="s">
        <v>390</v>
      </c>
      <c r="B1305" s="1" t="s">
        <v>55</v>
      </c>
      <c r="C1305" s="1" t="s">
        <v>369</v>
      </c>
      <c r="D1305" s="1" t="n">
        <v>11</v>
      </c>
      <c r="E1305" s="1" t="n">
        <v>47</v>
      </c>
      <c r="F1305" s="1" t="s">
        <v>49</v>
      </c>
      <c r="G1305" s="1" t="s">
        <v>49</v>
      </c>
      <c r="H1305" s="1" t="n">
        <v>38</v>
      </c>
      <c r="I1305" s="1" t="n">
        <v>2977.68</v>
      </c>
      <c r="J1305" s="1" t="n">
        <v>300</v>
      </c>
    </row>
    <row r="1306" customFormat="false" ht="15" hidden="false" customHeight="true" outlineLevel="0" collapsed="false">
      <c r="A1306" s="1" t="s">
        <v>391</v>
      </c>
      <c r="B1306" s="1" t="s">
        <v>57</v>
      </c>
      <c r="C1306" s="1" t="s">
        <v>369</v>
      </c>
      <c r="D1306" s="1" t="n">
        <v>11</v>
      </c>
      <c r="E1306" s="1" t="n">
        <v>47</v>
      </c>
      <c r="F1306" s="1" t="s">
        <v>43</v>
      </c>
      <c r="G1306" s="1" t="s">
        <v>44</v>
      </c>
      <c r="H1306" s="1" t="n">
        <v>20</v>
      </c>
      <c r="I1306" s="1" t="n">
        <v>2578</v>
      </c>
      <c r="J1306" s="1" t="n">
        <v>300</v>
      </c>
    </row>
    <row r="1307" customFormat="false" ht="15" hidden="false" customHeight="true" outlineLevel="0" collapsed="false">
      <c r="A1307" s="1" t="s">
        <v>391</v>
      </c>
      <c r="B1307" s="1" t="s">
        <v>57</v>
      </c>
      <c r="C1307" s="1" t="s">
        <v>369</v>
      </c>
      <c r="D1307" s="1" t="n">
        <v>11</v>
      </c>
      <c r="E1307" s="1" t="n">
        <v>47</v>
      </c>
      <c r="F1307" s="1" t="s">
        <v>45</v>
      </c>
      <c r="G1307" s="1" t="s">
        <v>46</v>
      </c>
      <c r="H1307" s="1" t="n">
        <v>61</v>
      </c>
      <c r="I1307" s="1" t="n">
        <v>5998.13</v>
      </c>
      <c r="J1307" s="1" t="n">
        <v>300</v>
      </c>
    </row>
    <row r="1308" customFormat="false" ht="15" hidden="false" customHeight="true" outlineLevel="0" collapsed="false">
      <c r="A1308" s="1" t="s">
        <v>391</v>
      </c>
      <c r="B1308" s="1" t="s">
        <v>57</v>
      </c>
      <c r="C1308" s="1" t="s">
        <v>369</v>
      </c>
      <c r="D1308" s="1" t="n">
        <v>11</v>
      </c>
      <c r="E1308" s="1" t="n">
        <v>47</v>
      </c>
      <c r="F1308" s="1" t="s">
        <v>47</v>
      </c>
      <c r="G1308" s="1" t="s">
        <v>48</v>
      </c>
      <c r="H1308" s="1" t="n">
        <v>15</v>
      </c>
      <c r="I1308" s="1" t="n">
        <v>1460.7</v>
      </c>
      <c r="J1308" s="1" t="n">
        <v>300</v>
      </c>
    </row>
    <row r="1309" customFormat="false" ht="15" hidden="false" customHeight="true" outlineLevel="0" collapsed="false">
      <c r="A1309" s="1" t="s">
        <v>391</v>
      </c>
      <c r="B1309" s="1" t="s">
        <v>57</v>
      </c>
      <c r="C1309" s="1" t="s">
        <v>369</v>
      </c>
      <c r="D1309" s="1" t="n">
        <v>11</v>
      </c>
      <c r="E1309" s="1" t="n">
        <v>47</v>
      </c>
      <c r="F1309" s="1" t="s">
        <v>49</v>
      </c>
      <c r="G1309" s="1" t="s">
        <v>49</v>
      </c>
      <c r="H1309" s="1" t="n">
        <v>42</v>
      </c>
      <c r="I1309" s="1" t="n">
        <v>3945.06</v>
      </c>
      <c r="J1309" s="1" t="n">
        <v>300</v>
      </c>
    </row>
    <row r="1310" customFormat="false" ht="15" hidden="false" customHeight="true" outlineLevel="0" collapsed="false">
      <c r="A1310" s="1" t="s">
        <v>392</v>
      </c>
      <c r="B1310" s="1" t="s">
        <v>59</v>
      </c>
      <c r="C1310" s="1" t="s">
        <v>369</v>
      </c>
      <c r="D1310" s="1" t="n">
        <v>11</v>
      </c>
      <c r="E1310" s="1" t="n">
        <v>48</v>
      </c>
      <c r="F1310" s="1" t="s">
        <v>43</v>
      </c>
      <c r="G1310" s="1" t="s">
        <v>44</v>
      </c>
      <c r="H1310" s="1" t="n">
        <v>93</v>
      </c>
      <c r="I1310" s="1" t="n">
        <v>11190.69</v>
      </c>
      <c r="J1310" s="1" t="n">
        <v>300</v>
      </c>
    </row>
    <row r="1311" customFormat="false" ht="15" hidden="false" customHeight="true" outlineLevel="0" collapsed="false">
      <c r="A1311" s="1" t="s">
        <v>392</v>
      </c>
      <c r="B1311" s="1" t="s">
        <v>59</v>
      </c>
      <c r="C1311" s="1" t="s">
        <v>369</v>
      </c>
      <c r="D1311" s="1" t="n">
        <v>11</v>
      </c>
      <c r="E1311" s="1" t="n">
        <v>48</v>
      </c>
      <c r="F1311" s="1" t="s">
        <v>45</v>
      </c>
      <c r="G1311" s="1" t="s">
        <v>46</v>
      </c>
      <c r="H1311" s="1" t="n">
        <v>22</v>
      </c>
      <c r="I1311" s="1" t="n">
        <v>2524.5</v>
      </c>
      <c r="J1311" s="1" t="n">
        <v>300</v>
      </c>
    </row>
    <row r="1312" customFormat="false" ht="15" hidden="false" customHeight="true" outlineLevel="0" collapsed="false">
      <c r="A1312" s="1" t="s">
        <v>392</v>
      </c>
      <c r="B1312" s="1" t="s">
        <v>59</v>
      </c>
      <c r="C1312" s="1" t="s">
        <v>369</v>
      </c>
      <c r="D1312" s="1" t="n">
        <v>11</v>
      </c>
      <c r="E1312" s="1" t="n">
        <v>48</v>
      </c>
      <c r="F1312" s="1" t="s">
        <v>47</v>
      </c>
      <c r="G1312" s="1" t="s">
        <v>48</v>
      </c>
      <c r="H1312" s="1" t="n">
        <v>31</v>
      </c>
      <c r="I1312" s="1" t="n">
        <v>3162.93</v>
      </c>
      <c r="J1312" s="1" t="n">
        <v>300</v>
      </c>
    </row>
    <row r="1313" customFormat="false" ht="15" hidden="false" customHeight="true" outlineLevel="0" collapsed="false">
      <c r="A1313" s="1" t="s">
        <v>392</v>
      </c>
      <c r="B1313" s="1" t="s">
        <v>59</v>
      </c>
      <c r="C1313" s="1" t="s">
        <v>369</v>
      </c>
      <c r="D1313" s="1" t="n">
        <v>11</v>
      </c>
      <c r="E1313" s="1" t="n">
        <v>48</v>
      </c>
      <c r="F1313" s="1" t="s">
        <v>49</v>
      </c>
      <c r="G1313" s="1" t="s">
        <v>49</v>
      </c>
      <c r="H1313" s="1" t="n">
        <v>32</v>
      </c>
      <c r="I1313" s="1" t="n">
        <v>3134.72</v>
      </c>
      <c r="J1313" s="1" t="n">
        <v>300</v>
      </c>
    </row>
    <row r="1314" customFormat="false" ht="15" hidden="false" customHeight="true" outlineLevel="0" collapsed="false">
      <c r="A1314" s="1" t="s">
        <v>393</v>
      </c>
      <c r="B1314" s="1" t="s">
        <v>61</v>
      </c>
      <c r="C1314" s="1" t="s">
        <v>369</v>
      </c>
      <c r="D1314" s="1" t="n">
        <v>11</v>
      </c>
      <c r="E1314" s="1" t="n">
        <v>48</v>
      </c>
      <c r="F1314" s="1" t="s">
        <v>43</v>
      </c>
      <c r="G1314" s="1" t="s">
        <v>44</v>
      </c>
      <c r="H1314" s="1" t="n">
        <v>103</v>
      </c>
      <c r="I1314" s="1" t="n">
        <v>11695.65</v>
      </c>
      <c r="J1314" s="1" t="n">
        <v>300</v>
      </c>
    </row>
    <row r="1315" customFormat="false" ht="15" hidden="false" customHeight="true" outlineLevel="0" collapsed="false">
      <c r="A1315" s="1" t="s">
        <v>393</v>
      </c>
      <c r="B1315" s="1" t="s">
        <v>61</v>
      </c>
      <c r="C1315" s="1" t="s">
        <v>369</v>
      </c>
      <c r="D1315" s="1" t="n">
        <v>11</v>
      </c>
      <c r="E1315" s="1" t="n">
        <v>48</v>
      </c>
      <c r="F1315" s="1" t="s">
        <v>45</v>
      </c>
      <c r="G1315" s="1" t="s">
        <v>46</v>
      </c>
      <c r="H1315" s="1" t="n">
        <v>24</v>
      </c>
      <c r="I1315" s="1" t="n">
        <v>2638.8</v>
      </c>
      <c r="J1315" s="1" t="n">
        <v>300</v>
      </c>
    </row>
    <row r="1316" customFormat="false" ht="15" hidden="false" customHeight="true" outlineLevel="0" collapsed="false">
      <c r="A1316" s="1" t="s">
        <v>393</v>
      </c>
      <c r="B1316" s="1" t="s">
        <v>61</v>
      </c>
      <c r="C1316" s="1" t="s">
        <v>369</v>
      </c>
      <c r="D1316" s="1" t="n">
        <v>11</v>
      </c>
      <c r="E1316" s="1" t="n">
        <v>48</v>
      </c>
      <c r="F1316" s="1" t="s">
        <v>47</v>
      </c>
      <c r="G1316" s="1" t="s">
        <v>48</v>
      </c>
      <c r="H1316" s="1" t="n">
        <v>28</v>
      </c>
      <c r="I1316" s="1" t="n">
        <v>2649.08</v>
      </c>
      <c r="J1316" s="1" t="n">
        <v>300</v>
      </c>
    </row>
    <row r="1317" customFormat="false" ht="15" hidden="false" customHeight="true" outlineLevel="0" collapsed="false">
      <c r="A1317" s="1" t="s">
        <v>393</v>
      </c>
      <c r="B1317" s="1" t="s">
        <v>61</v>
      </c>
      <c r="C1317" s="1" t="s">
        <v>369</v>
      </c>
      <c r="D1317" s="1" t="n">
        <v>11</v>
      </c>
      <c r="E1317" s="1" t="n">
        <v>48</v>
      </c>
      <c r="F1317" s="1" t="s">
        <v>49</v>
      </c>
      <c r="G1317" s="1" t="s">
        <v>49</v>
      </c>
      <c r="H1317" s="1" t="n">
        <v>32</v>
      </c>
      <c r="I1317" s="1" t="n">
        <v>2970.24</v>
      </c>
      <c r="J1317" s="1" t="n">
        <v>300</v>
      </c>
    </row>
    <row r="1318" customFormat="false" ht="15" hidden="false" customHeight="true" outlineLevel="0" collapsed="false">
      <c r="A1318" s="1" t="s">
        <v>394</v>
      </c>
      <c r="B1318" s="1" t="s">
        <v>41</v>
      </c>
      <c r="C1318" s="1" t="s">
        <v>369</v>
      </c>
      <c r="D1318" s="1" t="n">
        <v>11</v>
      </c>
      <c r="E1318" s="1" t="n">
        <v>48</v>
      </c>
      <c r="F1318" s="1" t="s">
        <v>43</v>
      </c>
      <c r="G1318" s="1" t="s">
        <v>44</v>
      </c>
      <c r="H1318" s="1" t="n">
        <v>102</v>
      </c>
      <c r="I1318" s="1" t="n">
        <v>12441.96</v>
      </c>
      <c r="J1318" s="1" t="n">
        <v>300</v>
      </c>
    </row>
    <row r="1319" customFormat="false" ht="15" hidden="false" customHeight="true" outlineLevel="0" collapsed="false">
      <c r="A1319" s="1" t="s">
        <v>394</v>
      </c>
      <c r="B1319" s="1" t="s">
        <v>41</v>
      </c>
      <c r="C1319" s="1" t="s">
        <v>369</v>
      </c>
      <c r="D1319" s="1" t="n">
        <v>11</v>
      </c>
      <c r="E1319" s="1" t="n">
        <v>48</v>
      </c>
      <c r="F1319" s="1" t="s">
        <v>45</v>
      </c>
      <c r="G1319" s="1" t="s">
        <v>46</v>
      </c>
      <c r="H1319" s="1" t="n">
        <v>24</v>
      </c>
      <c r="I1319" s="1" t="n">
        <v>2695.68</v>
      </c>
      <c r="J1319" s="1" t="n">
        <v>300</v>
      </c>
    </row>
    <row r="1320" customFormat="false" ht="15" hidden="false" customHeight="true" outlineLevel="0" collapsed="false">
      <c r="A1320" s="1" t="s">
        <v>394</v>
      </c>
      <c r="B1320" s="1" t="s">
        <v>41</v>
      </c>
      <c r="C1320" s="1" t="s">
        <v>369</v>
      </c>
      <c r="D1320" s="1" t="n">
        <v>11</v>
      </c>
      <c r="E1320" s="1" t="n">
        <v>48</v>
      </c>
      <c r="F1320" s="1" t="s">
        <v>47</v>
      </c>
      <c r="G1320" s="1" t="s">
        <v>48</v>
      </c>
      <c r="H1320" s="1" t="n">
        <v>30</v>
      </c>
      <c r="I1320" s="1" t="n">
        <v>3087.6</v>
      </c>
      <c r="J1320" s="1" t="n">
        <v>300</v>
      </c>
    </row>
    <row r="1321" customFormat="false" ht="15" hidden="false" customHeight="true" outlineLevel="0" collapsed="false">
      <c r="A1321" s="1" t="s">
        <v>394</v>
      </c>
      <c r="B1321" s="1" t="s">
        <v>41</v>
      </c>
      <c r="C1321" s="1" t="s">
        <v>369</v>
      </c>
      <c r="D1321" s="1" t="n">
        <v>11</v>
      </c>
      <c r="E1321" s="1" t="n">
        <v>48</v>
      </c>
      <c r="F1321" s="1" t="s">
        <v>49</v>
      </c>
      <c r="G1321" s="1" t="s">
        <v>49</v>
      </c>
      <c r="H1321" s="1" t="n">
        <v>29</v>
      </c>
      <c r="I1321" s="1" t="n">
        <v>2681.63</v>
      </c>
      <c r="J1321" s="1" t="n">
        <v>300</v>
      </c>
    </row>
    <row r="1322" customFormat="false" ht="15" hidden="false" customHeight="true" outlineLevel="0" collapsed="false">
      <c r="A1322" s="1" t="s">
        <v>395</v>
      </c>
      <c r="B1322" s="1" t="s">
        <v>51</v>
      </c>
      <c r="C1322" s="1" t="s">
        <v>369</v>
      </c>
      <c r="D1322" s="1" t="n">
        <v>11</v>
      </c>
      <c r="E1322" s="1" t="n">
        <v>48</v>
      </c>
      <c r="F1322" s="1" t="s">
        <v>43</v>
      </c>
      <c r="G1322" s="1" t="s">
        <v>44</v>
      </c>
      <c r="H1322" s="1" t="n">
        <v>116</v>
      </c>
      <c r="I1322" s="1" t="n">
        <v>13707.72</v>
      </c>
      <c r="J1322" s="1" t="n">
        <v>300</v>
      </c>
    </row>
    <row r="1323" customFormat="false" ht="15" hidden="false" customHeight="true" outlineLevel="0" collapsed="false">
      <c r="A1323" s="1" t="s">
        <v>395</v>
      </c>
      <c r="B1323" s="1" t="s">
        <v>51</v>
      </c>
      <c r="C1323" s="1" t="s">
        <v>369</v>
      </c>
      <c r="D1323" s="1" t="n">
        <v>11</v>
      </c>
      <c r="E1323" s="1" t="n">
        <v>48</v>
      </c>
      <c r="F1323" s="1" t="s">
        <v>45</v>
      </c>
      <c r="G1323" s="1" t="s">
        <v>46</v>
      </c>
      <c r="H1323" s="1" t="n">
        <v>19</v>
      </c>
      <c r="I1323" s="1" t="n">
        <v>1926.6</v>
      </c>
      <c r="J1323" s="1" t="n">
        <v>300</v>
      </c>
    </row>
    <row r="1324" customFormat="false" ht="15" hidden="false" customHeight="true" outlineLevel="0" collapsed="false">
      <c r="A1324" s="1" t="s">
        <v>395</v>
      </c>
      <c r="B1324" s="1" t="s">
        <v>51</v>
      </c>
      <c r="C1324" s="1" t="s">
        <v>369</v>
      </c>
      <c r="D1324" s="1" t="n">
        <v>11</v>
      </c>
      <c r="E1324" s="1" t="n">
        <v>48</v>
      </c>
      <c r="F1324" s="1" t="s">
        <v>47</v>
      </c>
      <c r="G1324" s="1" t="s">
        <v>48</v>
      </c>
      <c r="H1324" s="1" t="n">
        <v>27</v>
      </c>
      <c r="I1324" s="1" t="n">
        <v>2506.41</v>
      </c>
      <c r="J1324" s="1" t="n">
        <v>300</v>
      </c>
    </row>
    <row r="1325" customFormat="false" ht="15" hidden="false" customHeight="true" outlineLevel="0" collapsed="false">
      <c r="A1325" s="1" t="s">
        <v>395</v>
      </c>
      <c r="B1325" s="1" t="s">
        <v>51</v>
      </c>
      <c r="C1325" s="1" t="s">
        <v>369</v>
      </c>
      <c r="D1325" s="1" t="n">
        <v>11</v>
      </c>
      <c r="E1325" s="1" t="n">
        <v>48</v>
      </c>
      <c r="F1325" s="1" t="s">
        <v>49</v>
      </c>
      <c r="G1325" s="1" t="s">
        <v>49</v>
      </c>
      <c r="H1325" s="1" t="n">
        <v>30</v>
      </c>
      <c r="I1325" s="1" t="n">
        <v>2481</v>
      </c>
      <c r="J1325" s="1" t="n">
        <v>300</v>
      </c>
    </row>
    <row r="1326" customFormat="false" ht="15" hidden="false" customHeight="true" outlineLevel="0" collapsed="false">
      <c r="A1326" s="1" t="s">
        <v>396</v>
      </c>
      <c r="B1326" s="1" t="s">
        <v>53</v>
      </c>
      <c r="C1326" s="1" t="s">
        <v>369</v>
      </c>
      <c r="D1326" s="1" t="n">
        <v>11</v>
      </c>
      <c r="E1326" s="1" t="n">
        <v>48</v>
      </c>
      <c r="F1326" s="1" t="s">
        <v>43</v>
      </c>
      <c r="G1326" s="1" t="s">
        <v>44</v>
      </c>
      <c r="H1326" s="1" t="n">
        <v>100</v>
      </c>
      <c r="I1326" s="1" t="n">
        <v>12622</v>
      </c>
      <c r="J1326" s="1" t="n">
        <v>300</v>
      </c>
    </row>
    <row r="1327" customFormat="false" ht="15" hidden="false" customHeight="true" outlineLevel="0" collapsed="false">
      <c r="A1327" s="1" t="s">
        <v>396</v>
      </c>
      <c r="B1327" s="1" t="s">
        <v>53</v>
      </c>
      <c r="C1327" s="1" t="s">
        <v>369</v>
      </c>
      <c r="D1327" s="1" t="n">
        <v>11</v>
      </c>
      <c r="E1327" s="1" t="n">
        <v>48</v>
      </c>
      <c r="F1327" s="1" t="s">
        <v>45</v>
      </c>
      <c r="G1327" s="1" t="s">
        <v>46</v>
      </c>
      <c r="H1327" s="1" t="n">
        <v>19</v>
      </c>
      <c r="I1327" s="1" t="n">
        <v>2187.85</v>
      </c>
      <c r="J1327" s="1" t="n">
        <v>300</v>
      </c>
    </row>
    <row r="1328" customFormat="false" ht="15" hidden="false" customHeight="true" outlineLevel="0" collapsed="false">
      <c r="A1328" s="1" t="s">
        <v>396</v>
      </c>
      <c r="B1328" s="1" t="s">
        <v>53</v>
      </c>
      <c r="C1328" s="1" t="s">
        <v>369</v>
      </c>
      <c r="D1328" s="1" t="n">
        <v>11</v>
      </c>
      <c r="E1328" s="1" t="n">
        <v>48</v>
      </c>
      <c r="F1328" s="1" t="s">
        <v>47</v>
      </c>
      <c r="G1328" s="1" t="s">
        <v>48</v>
      </c>
      <c r="H1328" s="1" t="n">
        <v>31</v>
      </c>
      <c r="I1328" s="1" t="n">
        <v>3206.64</v>
      </c>
      <c r="J1328" s="1" t="n">
        <v>300</v>
      </c>
    </row>
    <row r="1329" customFormat="false" ht="15" hidden="false" customHeight="true" outlineLevel="0" collapsed="false">
      <c r="A1329" s="1" t="s">
        <v>396</v>
      </c>
      <c r="B1329" s="1" t="s">
        <v>53</v>
      </c>
      <c r="C1329" s="1" t="s">
        <v>369</v>
      </c>
      <c r="D1329" s="1" t="n">
        <v>11</v>
      </c>
      <c r="E1329" s="1" t="n">
        <v>48</v>
      </c>
      <c r="F1329" s="1" t="s">
        <v>49</v>
      </c>
      <c r="G1329" s="1" t="s">
        <v>49</v>
      </c>
      <c r="H1329" s="1" t="n">
        <v>30</v>
      </c>
      <c r="I1329" s="1" t="n">
        <v>2848.2</v>
      </c>
      <c r="J1329" s="1" t="n">
        <v>300</v>
      </c>
    </row>
    <row r="1330" customFormat="false" ht="15" hidden="false" customHeight="true" outlineLevel="0" collapsed="false">
      <c r="A1330" s="1" t="s">
        <v>397</v>
      </c>
      <c r="B1330" s="1" t="s">
        <v>55</v>
      </c>
      <c r="C1330" s="1" t="s">
        <v>369</v>
      </c>
      <c r="D1330" s="1" t="n">
        <v>11</v>
      </c>
      <c r="E1330" s="1" t="n">
        <v>48</v>
      </c>
      <c r="F1330" s="1" t="s">
        <v>43</v>
      </c>
      <c r="G1330" s="1" t="s">
        <v>44</v>
      </c>
      <c r="H1330" s="1" t="n">
        <v>17</v>
      </c>
      <c r="I1330" s="1" t="n">
        <v>2144.38</v>
      </c>
      <c r="J1330" s="1" t="n">
        <v>300</v>
      </c>
    </row>
    <row r="1331" customFormat="false" ht="15" hidden="false" customHeight="true" outlineLevel="0" collapsed="false">
      <c r="A1331" s="1" t="s">
        <v>397</v>
      </c>
      <c r="B1331" s="1" t="s">
        <v>55</v>
      </c>
      <c r="C1331" s="1" t="s">
        <v>369</v>
      </c>
      <c r="D1331" s="1" t="n">
        <v>11</v>
      </c>
      <c r="E1331" s="1" t="n">
        <v>48</v>
      </c>
      <c r="F1331" s="1" t="s">
        <v>45</v>
      </c>
      <c r="G1331" s="1" t="s">
        <v>46</v>
      </c>
      <c r="H1331" s="1" t="n">
        <v>59</v>
      </c>
      <c r="I1331" s="1" t="n">
        <v>6433.36</v>
      </c>
      <c r="J1331" s="1" t="n">
        <v>300</v>
      </c>
    </row>
    <row r="1332" customFormat="false" ht="15" hidden="false" customHeight="true" outlineLevel="0" collapsed="false">
      <c r="A1332" s="1" t="s">
        <v>397</v>
      </c>
      <c r="B1332" s="1" t="s">
        <v>55</v>
      </c>
      <c r="C1332" s="1" t="s">
        <v>369</v>
      </c>
      <c r="D1332" s="1" t="n">
        <v>11</v>
      </c>
      <c r="E1332" s="1" t="n">
        <v>48</v>
      </c>
      <c r="F1332" s="1" t="s">
        <v>47</v>
      </c>
      <c r="G1332" s="1" t="s">
        <v>48</v>
      </c>
      <c r="H1332" s="1" t="n">
        <v>14</v>
      </c>
      <c r="I1332" s="1" t="n">
        <v>1290.52</v>
      </c>
      <c r="J1332" s="1" t="n">
        <v>300</v>
      </c>
    </row>
    <row r="1333" customFormat="false" ht="15" hidden="false" customHeight="true" outlineLevel="0" collapsed="false">
      <c r="A1333" s="1" t="s">
        <v>397</v>
      </c>
      <c r="B1333" s="1" t="s">
        <v>55</v>
      </c>
      <c r="C1333" s="1" t="s">
        <v>369</v>
      </c>
      <c r="D1333" s="1" t="n">
        <v>11</v>
      </c>
      <c r="E1333" s="1" t="n">
        <v>48</v>
      </c>
      <c r="F1333" s="1" t="s">
        <v>49</v>
      </c>
      <c r="G1333" s="1" t="s">
        <v>49</v>
      </c>
      <c r="H1333" s="1" t="n">
        <v>42</v>
      </c>
      <c r="I1333" s="1" t="n">
        <v>3577.14</v>
      </c>
      <c r="J1333" s="1" t="n">
        <v>300</v>
      </c>
    </row>
    <row r="1334" customFormat="false" ht="15" hidden="false" customHeight="true" outlineLevel="0" collapsed="false">
      <c r="A1334" s="1" t="s">
        <v>398</v>
      </c>
      <c r="B1334" s="1" t="s">
        <v>57</v>
      </c>
      <c r="C1334" s="1" t="s">
        <v>369</v>
      </c>
      <c r="D1334" s="1" t="n">
        <v>11</v>
      </c>
      <c r="E1334" s="1" t="n">
        <v>48</v>
      </c>
      <c r="F1334" s="1" t="s">
        <v>43</v>
      </c>
      <c r="G1334" s="1" t="s">
        <v>44</v>
      </c>
      <c r="H1334" s="1" t="n">
        <v>20</v>
      </c>
      <c r="I1334" s="1" t="n">
        <v>2198.4</v>
      </c>
      <c r="J1334" s="1" t="n">
        <v>300</v>
      </c>
    </row>
    <row r="1335" customFormat="false" ht="15" hidden="false" customHeight="true" outlineLevel="0" collapsed="false">
      <c r="A1335" s="1" t="s">
        <v>398</v>
      </c>
      <c r="B1335" s="1" t="s">
        <v>57</v>
      </c>
      <c r="C1335" s="1" t="s">
        <v>369</v>
      </c>
      <c r="D1335" s="1" t="n">
        <v>11</v>
      </c>
      <c r="E1335" s="1" t="n">
        <v>48</v>
      </c>
      <c r="F1335" s="1" t="s">
        <v>45</v>
      </c>
      <c r="G1335" s="1" t="s">
        <v>46</v>
      </c>
      <c r="H1335" s="1" t="n">
        <v>62</v>
      </c>
      <c r="I1335" s="1" t="n">
        <v>6059.26</v>
      </c>
      <c r="J1335" s="1" t="n">
        <v>300</v>
      </c>
    </row>
    <row r="1336" customFormat="false" ht="15" hidden="false" customHeight="true" outlineLevel="0" collapsed="false">
      <c r="A1336" s="1" t="s">
        <v>398</v>
      </c>
      <c r="B1336" s="1" t="s">
        <v>57</v>
      </c>
      <c r="C1336" s="1" t="s">
        <v>369</v>
      </c>
      <c r="D1336" s="1" t="n">
        <v>11</v>
      </c>
      <c r="E1336" s="1" t="n">
        <v>48</v>
      </c>
      <c r="F1336" s="1" t="s">
        <v>47</v>
      </c>
      <c r="G1336" s="1" t="s">
        <v>48</v>
      </c>
      <c r="H1336" s="1" t="n">
        <v>17</v>
      </c>
      <c r="I1336" s="1" t="n">
        <v>1718.19</v>
      </c>
      <c r="J1336" s="1" t="n">
        <v>300</v>
      </c>
    </row>
    <row r="1337" customFormat="false" ht="15" hidden="false" customHeight="true" outlineLevel="0" collapsed="false">
      <c r="A1337" s="1" t="s">
        <v>398</v>
      </c>
      <c r="B1337" s="1" t="s">
        <v>57</v>
      </c>
      <c r="C1337" s="1" t="s">
        <v>369</v>
      </c>
      <c r="D1337" s="1" t="n">
        <v>11</v>
      </c>
      <c r="E1337" s="1" t="n">
        <v>48</v>
      </c>
      <c r="F1337" s="1" t="s">
        <v>49</v>
      </c>
      <c r="G1337" s="1" t="s">
        <v>49</v>
      </c>
      <c r="H1337" s="1" t="n">
        <v>37</v>
      </c>
      <c r="I1337" s="1" t="n">
        <v>3458.39</v>
      </c>
      <c r="J1337" s="1" t="n">
        <v>300</v>
      </c>
    </row>
    <row r="1338" customFormat="false" ht="15" hidden="false" customHeight="true" outlineLevel="0" collapsed="false">
      <c r="A1338" s="1" t="s">
        <v>399</v>
      </c>
      <c r="B1338" s="1" t="s">
        <v>59</v>
      </c>
      <c r="C1338" s="1" t="s">
        <v>400</v>
      </c>
      <c r="D1338" s="1" t="n">
        <v>12</v>
      </c>
      <c r="E1338" s="1" t="n">
        <v>49</v>
      </c>
      <c r="F1338" s="1" t="s">
        <v>43</v>
      </c>
      <c r="G1338" s="1" t="s">
        <v>44</v>
      </c>
      <c r="H1338" s="1" t="n">
        <v>86</v>
      </c>
      <c r="I1338" s="1" t="n">
        <v>9450.54</v>
      </c>
      <c r="J1338" s="1" t="n">
        <v>300</v>
      </c>
    </row>
    <row r="1339" customFormat="false" ht="15" hidden="false" customHeight="true" outlineLevel="0" collapsed="false">
      <c r="A1339" s="1" t="s">
        <v>399</v>
      </c>
      <c r="B1339" s="1" t="s">
        <v>59</v>
      </c>
      <c r="C1339" s="1" t="s">
        <v>400</v>
      </c>
      <c r="D1339" s="1" t="n">
        <v>12</v>
      </c>
      <c r="E1339" s="1" t="n">
        <v>49</v>
      </c>
      <c r="F1339" s="1" t="s">
        <v>45</v>
      </c>
      <c r="G1339" s="1" t="s">
        <v>46</v>
      </c>
      <c r="H1339" s="1" t="n">
        <v>16</v>
      </c>
      <c r="I1339" s="1" t="n">
        <v>1412.8</v>
      </c>
      <c r="J1339" s="1" t="n">
        <v>300</v>
      </c>
    </row>
    <row r="1340" customFormat="false" ht="15" hidden="false" customHeight="true" outlineLevel="0" collapsed="false">
      <c r="A1340" s="1" t="s">
        <v>399</v>
      </c>
      <c r="B1340" s="1" t="s">
        <v>59</v>
      </c>
      <c r="C1340" s="1" t="s">
        <v>400</v>
      </c>
      <c r="D1340" s="1" t="n">
        <v>12</v>
      </c>
      <c r="E1340" s="1" t="n">
        <v>49</v>
      </c>
      <c r="F1340" s="1" t="s">
        <v>47</v>
      </c>
      <c r="G1340" s="1" t="s">
        <v>48</v>
      </c>
      <c r="H1340" s="1" t="n">
        <v>25</v>
      </c>
      <c r="I1340" s="1" t="n">
        <v>2092.75</v>
      </c>
      <c r="J1340" s="1" t="n">
        <v>300</v>
      </c>
    </row>
    <row r="1341" customFormat="false" ht="15" hidden="false" customHeight="true" outlineLevel="0" collapsed="false">
      <c r="A1341" s="1" t="s">
        <v>399</v>
      </c>
      <c r="B1341" s="1" t="s">
        <v>59</v>
      </c>
      <c r="C1341" s="1" t="s">
        <v>400</v>
      </c>
      <c r="D1341" s="1" t="n">
        <v>12</v>
      </c>
      <c r="E1341" s="1" t="n">
        <v>49</v>
      </c>
      <c r="F1341" s="1" t="s">
        <v>49</v>
      </c>
      <c r="G1341" s="1" t="s">
        <v>49</v>
      </c>
      <c r="H1341" s="1" t="n">
        <v>27</v>
      </c>
      <c r="I1341" s="1" t="n">
        <v>2276.1</v>
      </c>
      <c r="J1341" s="1" t="n">
        <v>300</v>
      </c>
    </row>
    <row r="1342" customFormat="false" ht="15" hidden="false" customHeight="true" outlineLevel="0" collapsed="false">
      <c r="A1342" s="1" t="s">
        <v>401</v>
      </c>
      <c r="B1342" s="1" t="s">
        <v>61</v>
      </c>
      <c r="C1342" s="1" t="s">
        <v>400</v>
      </c>
      <c r="D1342" s="1" t="n">
        <v>12</v>
      </c>
      <c r="E1342" s="1" t="n">
        <v>49</v>
      </c>
      <c r="F1342" s="1" t="s">
        <v>43</v>
      </c>
      <c r="G1342" s="1" t="s">
        <v>44</v>
      </c>
      <c r="H1342" s="1" t="n">
        <v>89</v>
      </c>
      <c r="I1342" s="1" t="n">
        <v>9923.5</v>
      </c>
      <c r="J1342" s="1" t="n">
        <v>300</v>
      </c>
    </row>
    <row r="1343" customFormat="false" ht="15" hidden="false" customHeight="true" outlineLevel="0" collapsed="false">
      <c r="A1343" s="1" t="s">
        <v>401</v>
      </c>
      <c r="B1343" s="1" t="s">
        <v>61</v>
      </c>
      <c r="C1343" s="1" t="s">
        <v>400</v>
      </c>
      <c r="D1343" s="1" t="n">
        <v>12</v>
      </c>
      <c r="E1343" s="1" t="n">
        <v>49</v>
      </c>
      <c r="F1343" s="1" t="s">
        <v>45</v>
      </c>
      <c r="G1343" s="1" t="s">
        <v>46</v>
      </c>
      <c r="H1343" s="1" t="n">
        <v>17</v>
      </c>
      <c r="I1343" s="1" t="n">
        <v>1776.16</v>
      </c>
      <c r="J1343" s="1" t="n">
        <v>300</v>
      </c>
    </row>
    <row r="1344" customFormat="false" ht="15" hidden="false" customHeight="true" outlineLevel="0" collapsed="false">
      <c r="A1344" s="1" t="s">
        <v>401</v>
      </c>
      <c r="B1344" s="1" t="s">
        <v>61</v>
      </c>
      <c r="C1344" s="1" t="s">
        <v>400</v>
      </c>
      <c r="D1344" s="1" t="n">
        <v>12</v>
      </c>
      <c r="E1344" s="1" t="n">
        <v>49</v>
      </c>
      <c r="F1344" s="1" t="s">
        <v>47</v>
      </c>
      <c r="G1344" s="1" t="s">
        <v>48</v>
      </c>
      <c r="H1344" s="1" t="n">
        <v>25</v>
      </c>
      <c r="I1344" s="1" t="n">
        <v>2353.5</v>
      </c>
      <c r="J1344" s="1" t="n">
        <v>300</v>
      </c>
    </row>
    <row r="1345" customFormat="false" ht="15" hidden="false" customHeight="true" outlineLevel="0" collapsed="false">
      <c r="A1345" s="1" t="s">
        <v>401</v>
      </c>
      <c r="B1345" s="1" t="s">
        <v>61</v>
      </c>
      <c r="C1345" s="1" t="s">
        <v>400</v>
      </c>
      <c r="D1345" s="1" t="n">
        <v>12</v>
      </c>
      <c r="E1345" s="1" t="n">
        <v>49</v>
      </c>
      <c r="F1345" s="1" t="s">
        <v>49</v>
      </c>
      <c r="G1345" s="1" t="s">
        <v>49</v>
      </c>
      <c r="H1345" s="1" t="n">
        <v>28</v>
      </c>
      <c r="I1345" s="1" t="n">
        <v>2177.28</v>
      </c>
      <c r="J1345" s="1" t="n">
        <v>300</v>
      </c>
    </row>
    <row r="1346" customFormat="false" ht="15" hidden="false" customHeight="true" outlineLevel="0" collapsed="false">
      <c r="A1346" s="1" t="s">
        <v>402</v>
      </c>
      <c r="B1346" s="1" t="s">
        <v>41</v>
      </c>
      <c r="C1346" s="1" t="s">
        <v>400</v>
      </c>
      <c r="D1346" s="1" t="n">
        <v>12</v>
      </c>
      <c r="E1346" s="1" t="n">
        <v>49</v>
      </c>
      <c r="F1346" s="1" t="s">
        <v>43</v>
      </c>
      <c r="G1346" s="1" t="s">
        <v>44</v>
      </c>
      <c r="H1346" s="1" t="n">
        <v>89</v>
      </c>
      <c r="I1346" s="1" t="n">
        <v>10477.97</v>
      </c>
      <c r="J1346" s="1" t="n">
        <v>300</v>
      </c>
    </row>
    <row r="1347" customFormat="false" ht="15" hidden="false" customHeight="true" outlineLevel="0" collapsed="false">
      <c r="A1347" s="1" t="s">
        <v>402</v>
      </c>
      <c r="B1347" s="1" t="s">
        <v>41</v>
      </c>
      <c r="C1347" s="1" t="s">
        <v>400</v>
      </c>
      <c r="D1347" s="1" t="n">
        <v>12</v>
      </c>
      <c r="E1347" s="1" t="n">
        <v>49</v>
      </c>
      <c r="F1347" s="1" t="s">
        <v>45</v>
      </c>
      <c r="G1347" s="1" t="s">
        <v>46</v>
      </c>
      <c r="H1347" s="1" t="n">
        <v>16</v>
      </c>
      <c r="I1347" s="1" t="n">
        <v>1577.92</v>
      </c>
      <c r="J1347" s="1" t="n">
        <v>300</v>
      </c>
    </row>
    <row r="1348" customFormat="false" ht="15" hidden="false" customHeight="true" outlineLevel="0" collapsed="false">
      <c r="A1348" s="1" t="s">
        <v>402</v>
      </c>
      <c r="B1348" s="1" t="s">
        <v>41</v>
      </c>
      <c r="C1348" s="1" t="s">
        <v>400</v>
      </c>
      <c r="D1348" s="1" t="n">
        <v>12</v>
      </c>
      <c r="E1348" s="1" t="n">
        <v>49</v>
      </c>
      <c r="F1348" s="1" t="s">
        <v>47</v>
      </c>
      <c r="G1348" s="1" t="s">
        <v>48</v>
      </c>
      <c r="H1348" s="1" t="n">
        <v>25</v>
      </c>
      <c r="I1348" s="1" t="n">
        <v>2291</v>
      </c>
      <c r="J1348" s="1" t="n">
        <v>300</v>
      </c>
    </row>
    <row r="1349" customFormat="false" ht="15" hidden="false" customHeight="true" outlineLevel="0" collapsed="false">
      <c r="A1349" s="1" t="s">
        <v>402</v>
      </c>
      <c r="B1349" s="1" t="s">
        <v>41</v>
      </c>
      <c r="C1349" s="1" t="s">
        <v>400</v>
      </c>
      <c r="D1349" s="1" t="n">
        <v>12</v>
      </c>
      <c r="E1349" s="1" t="n">
        <v>49</v>
      </c>
      <c r="F1349" s="1" t="s">
        <v>49</v>
      </c>
      <c r="G1349" s="1" t="s">
        <v>49</v>
      </c>
      <c r="H1349" s="1" t="n">
        <v>27</v>
      </c>
      <c r="I1349" s="1" t="n">
        <v>2511.27</v>
      </c>
      <c r="J1349" s="1" t="n">
        <v>300</v>
      </c>
    </row>
    <row r="1350" customFormat="false" ht="15" hidden="false" customHeight="true" outlineLevel="0" collapsed="false">
      <c r="A1350" s="1" t="s">
        <v>403</v>
      </c>
      <c r="B1350" s="1" t="s">
        <v>51</v>
      </c>
      <c r="C1350" s="1" t="s">
        <v>400</v>
      </c>
      <c r="D1350" s="1" t="n">
        <v>12</v>
      </c>
      <c r="E1350" s="1" t="n">
        <v>49</v>
      </c>
      <c r="F1350" s="1" t="s">
        <v>43</v>
      </c>
      <c r="G1350" s="1" t="s">
        <v>44</v>
      </c>
      <c r="H1350" s="1" t="n">
        <v>92</v>
      </c>
      <c r="I1350" s="1" t="n">
        <v>9625.04</v>
      </c>
      <c r="J1350" s="1" t="n">
        <v>300</v>
      </c>
    </row>
    <row r="1351" customFormat="false" ht="15" hidden="false" customHeight="true" outlineLevel="0" collapsed="false">
      <c r="A1351" s="1" t="s">
        <v>403</v>
      </c>
      <c r="B1351" s="1" t="s">
        <v>51</v>
      </c>
      <c r="C1351" s="1" t="s">
        <v>400</v>
      </c>
      <c r="D1351" s="1" t="n">
        <v>12</v>
      </c>
      <c r="E1351" s="1" t="n">
        <v>49</v>
      </c>
      <c r="F1351" s="1" t="s">
        <v>45</v>
      </c>
      <c r="G1351" s="1" t="s">
        <v>46</v>
      </c>
      <c r="H1351" s="1" t="n">
        <v>19</v>
      </c>
      <c r="I1351" s="1" t="n">
        <v>2053.33</v>
      </c>
      <c r="J1351" s="1" t="n">
        <v>300</v>
      </c>
    </row>
    <row r="1352" customFormat="false" ht="15" hidden="false" customHeight="true" outlineLevel="0" collapsed="false">
      <c r="A1352" s="1" t="s">
        <v>403</v>
      </c>
      <c r="B1352" s="1" t="s">
        <v>51</v>
      </c>
      <c r="C1352" s="1" t="s">
        <v>400</v>
      </c>
      <c r="D1352" s="1" t="n">
        <v>12</v>
      </c>
      <c r="E1352" s="1" t="n">
        <v>49</v>
      </c>
      <c r="F1352" s="1" t="s">
        <v>47</v>
      </c>
      <c r="G1352" s="1" t="s">
        <v>48</v>
      </c>
      <c r="H1352" s="1" t="n">
        <v>25</v>
      </c>
      <c r="I1352" s="1" t="n">
        <v>2461</v>
      </c>
      <c r="J1352" s="1" t="n">
        <v>300</v>
      </c>
    </row>
    <row r="1353" customFormat="false" ht="15" hidden="false" customHeight="true" outlineLevel="0" collapsed="false">
      <c r="A1353" s="1" t="s">
        <v>403</v>
      </c>
      <c r="B1353" s="1" t="s">
        <v>51</v>
      </c>
      <c r="C1353" s="1" t="s">
        <v>400</v>
      </c>
      <c r="D1353" s="1" t="n">
        <v>12</v>
      </c>
      <c r="E1353" s="1" t="n">
        <v>49</v>
      </c>
      <c r="F1353" s="1" t="s">
        <v>49</v>
      </c>
      <c r="G1353" s="1" t="s">
        <v>49</v>
      </c>
      <c r="H1353" s="1" t="n">
        <v>31</v>
      </c>
      <c r="I1353" s="1" t="n">
        <v>2818.21</v>
      </c>
      <c r="J1353" s="1" t="n">
        <v>300</v>
      </c>
    </row>
    <row r="1354" customFormat="false" ht="15" hidden="false" customHeight="true" outlineLevel="0" collapsed="false">
      <c r="A1354" s="1" t="s">
        <v>404</v>
      </c>
      <c r="B1354" s="1" t="s">
        <v>53</v>
      </c>
      <c r="C1354" s="1" t="s">
        <v>400</v>
      </c>
      <c r="D1354" s="1" t="n">
        <v>12</v>
      </c>
      <c r="E1354" s="1" t="n">
        <v>49</v>
      </c>
      <c r="F1354" s="1" t="s">
        <v>43</v>
      </c>
      <c r="G1354" s="1" t="s">
        <v>44</v>
      </c>
      <c r="H1354" s="1" t="n">
        <v>85</v>
      </c>
      <c r="I1354" s="1" t="n">
        <v>10257.8</v>
      </c>
      <c r="J1354" s="1" t="n">
        <v>300</v>
      </c>
    </row>
    <row r="1355" customFormat="false" ht="15" hidden="false" customHeight="true" outlineLevel="0" collapsed="false">
      <c r="A1355" s="1" t="s">
        <v>404</v>
      </c>
      <c r="B1355" s="1" t="s">
        <v>53</v>
      </c>
      <c r="C1355" s="1" t="s">
        <v>400</v>
      </c>
      <c r="D1355" s="1" t="n">
        <v>12</v>
      </c>
      <c r="E1355" s="1" t="n">
        <v>49</v>
      </c>
      <c r="F1355" s="1" t="s">
        <v>45</v>
      </c>
      <c r="G1355" s="1" t="s">
        <v>46</v>
      </c>
      <c r="H1355" s="1" t="n">
        <v>18</v>
      </c>
      <c r="I1355" s="1" t="n">
        <v>1804.14</v>
      </c>
      <c r="J1355" s="1" t="n">
        <v>300</v>
      </c>
    </row>
    <row r="1356" customFormat="false" ht="15" hidden="false" customHeight="true" outlineLevel="0" collapsed="false">
      <c r="A1356" s="1" t="s">
        <v>404</v>
      </c>
      <c r="B1356" s="1" t="s">
        <v>53</v>
      </c>
      <c r="C1356" s="1" t="s">
        <v>400</v>
      </c>
      <c r="D1356" s="1" t="n">
        <v>12</v>
      </c>
      <c r="E1356" s="1" t="n">
        <v>49</v>
      </c>
      <c r="F1356" s="1" t="s">
        <v>47</v>
      </c>
      <c r="G1356" s="1" t="s">
        <v>48</v>
      </c>
      <c r="H1356" s="1" t="n">
        <v>24</v>
      </c>
      <c r="I1356" s="1" t="n">
        <v>2425.2</v>
      </c>
      <c r="J1356" s="1" t="n">
        <v>300</v>
      </c>
    </row>
    <row r="1357" customFormat="false" ht="15" hidden="false" customHeight="true" outlineLevel="0" collapsed="false">
      <c r="A1357" s="1" t="s">
        <v>404</v>
      </c>
      <c r="B1357" s="1" t="s">
        <v>53</v>
      </c>
      <c r="C1357" s="1" t="s">
        <v>400</v>
      </c>
      <c r="D1357" s="1" t="n">
        <v>12</v>
      </c>
      <c r="E1357" s="1" t="n">
        <v>49</v>
      </c>
      <c r="F1357" s="1" t="s">
        <v>49</v>
      </c>
      <c r="G1357" s="1" t="s">
        <v>49</v>
      </c>
      <c r="H1357" s="1" t="n">
        <v>24</v>
      </c>
      <c r="I1357" s="1" t="n">
        <v>2244.72</v>
      </c>
      <c r="J1357" s="1" t="n">
        <v>300</v>
      </c>
    </row>
    <row r="1358" customFormat="false" ht="15" hidden="false" customHeight="true" outlineLevel="0" collapsed="false">
      <c r="A1358" s="1" t="s">
        <v>405</v>
      </c>
      <c r="B1358" s="1" t="s">
        <v>55</v>
      </c>
      <c r="C1358" s="1" t="s">
        <v>400</v>
      </c>
      <c r="D1358" s="1" t="n">
        <v>12</v>
      </c>
      <c r="E1358" s="1" t="n">
        <v>49</v>
      </c>
      <c r="F1358" s="1" t="s">
        <v>43</v>
      </c>
      <c r="G1358" s="1" t="s">
        <v>44</v>
      </c>
      <c r="H1358" s="1" t="n">
        <v>17</v>
      </c>
      <c r="I1358" s="1" t="n">
        <v>1768.51</v>
      </c>
      <c r="J1358" s="1" t="n">
        <v>300</v>
      </c>
    </row>
    <row r="1359" customFormat="false" ht="15" hidden="false" customHeight="true" outlineLevel="0" collapsed="false">
      <c r="A1359" s="1" t="s">
        <v>405</v>
      </c>
      <c r="B1359" s="1" t="s">
        <v>55</v>
      </c>
      <c r="C1359" s="1" t="s">
        <v>400</v>
      </c>
      <c r="D1359" s="1" t="n">
        <v>12</v>
      </c>
      <c r="E1359" s="1" t="n">
        <v>49</v>
      </c>
      <c r="F1359" s="1" t="s">
        <v>45</v>
      </c>
      <c r="G1359" s="1" t="s">
        <v>46</v>
      </c>
      <c r="H1359" s="1" t="n">
        <v>50</v>
      </c>
      <c r="I1359" s="1" t="n">
        <v>4374</v>
      </c>
      <c r="J1359" s="1" t="n">
        <v>300</v>
      </c>
    </row>
    <row r="1360" customFormat="false" ht="15" hidden="false" customHeight="true" outlineLevel="0" collapsed="false">
      <c r="A1360" s="1" t="s">
        <v>405</v>
      </c>
      <c r="B1360" s="1" t="s">
        <v>55</v>
      </c>
      <c r="C1360" s="1" t="s">
        <v>400</v>
      </c>
      <c r="D1360" s="1" t="n">
        <v>12</v>
      </c>
      <c r="E1360" s="1" t="n">
        <v>49</v>
      </c>
      <c r="F1360" s="1" t="s">
        <v>47</v>
      </c>
      <c r="G1360" s="1" t="s">
        <v>48</v>
      </c>
      <c r="H1360" s="1" t="n">
        <v>14</v>
      </c>
      <c r="I1360" s="1" t="n">
        <v>1362.2</v>
      </c>
      <c r="J1360" s="1" t="n">
        <v>300</v>
      </c>
    </row>
    <row r="1361" customFormat="false" ht="15" hidden="false" customHeight="true" outlineLevel="0" collapsed="false">
      <c r="A1361" s="1" t="s">
        <v>405</v>
      </c>
      <c r="B1361" s="1" t="s">
        <v>55</v>
      </c>
      <c r="C1361" s="1" t="s">
        <v>400</v>
      </c>
      <c r="D1361" s="1" t="n">
        <v>12</v>
      </c>
      <c r="E1361" s="1" t="n">
        <v>49</v>
      </c>
      <c r="F1361" s="1" t="s">
        <v>49</v>
      </c>
      <c r="G1361" s="1" t="s">
        <v>49</v>
      </c>
      <c r="H1361" s="1" t="n">
        <v>32</v>
      </c>
      <c r="I1361" s="1" t="n">
        <v>2761.28</v>
      </c>
      <c r="J1361" s="1" t="n">
        <v>300</v>
      </c>
    </row>
    <row r="1362" customFormat="false" ht="15" hidden="false" customHeight="true" outlineLevel="0" collapsed="false">
      <c r="A1362" s="1" t="s">
        <v>406</v>
      </c>
      <c r="B1362" s="1" t="s">
        <v>57</v>
      </c>
      <c r="C1362" s="1" t="s">
        <v>400</v>
      </c>
      <c r="D1362" s="1" t="n">
        <v>12</v>
      </c>
      <c r="E1362" s="1" t="n">
        <v>49</v>
      </c>
      <c r="F1362" s="1" t="s">
        <v>43</v>
      </c>
      <c r="G1362" s="1" t="s">
        <v>44</v>
      </c>
      <c r="H1362" s="1" t="n">
        <v>19</v>
      </c>
      <c r="I1362" s="1" t="n">
        <v>2092.09</v>
      </c>
      <c r="J1362" s="1" t="n">
        <v>300</v>
      </c>
    </row>
    <row r="1363" customFormat="false" ht="15" hidden="false" customHeight="true" outlineLevel="0" collapsed="false">
      <c r="A1363" s="1" t="s">
        <v>406</v>
      </c>
      <c r="B1363" s="1" t="s">
        <v>57</v>
      </c>
      <c r="C1363" s="1" t="s">
        <v>400</v>
      </c>
      <c r="D1363" s="1" t="n">
        <v>12</v>
      </c>
      <c r="E1363" s="1" t="n">
        <v>49</v>
      </c>
      <c r="F1363" s="1" t="s">
        <v>45</v>
      </c>
      <c r="G1363" s="1" t="s">
        <v>46</v>
      </c>
      <c r="H1363" s="1" t="n">
        <v>44</v>
      </c>
      <c r="I1363" s="1" t="n">
        <v>4795.12</v>
      </c>
      <c r="J1363" s="1" t="n">
        <v>300</v>
      </c>
    </row>
    <row r="1364" customFormat="false" ht="15" hidden="false" customHeight="true" outlineLevel="0" collapsed="false">
      <c r="A1364" s="1" t="s">
        <v>406</v>
      </c>
      <c r="B1364" s="1" t="s">
        <v>57</v>
      </c>
      <c r="C1364" s="1" t="s">
        <v>400</v>
      </c>
      <c r="D1364" s="1" t="n">
        <v>12</v>
      </c>
      <c r="E1364" s="1" t="n">
        <v>49</v>
      </c>
      <c r="F1364" s="1" t="s">
        <v>47</v>
      </c>
      <c r="G1364" s="1" t="s">
        <v>48</v>
      </c>
      <c r="H1364" s="1" t="n">
        <v>16</v>
      </c>
      <c r="I1364" s="1" t="n">
        <v>1478.56</v>
      </c>
      <c r="J1364" s="1" t="n">
        <v>300</v>
      </c>
    </row>
    <row r="1365" customFormat="false" ht="15" hidden="false" customHeight="true" outlineLevel="0" collapsed="false">
      <c r="A1365" s="1" t="s">
        <v>406</v>
      </c>
      <c r="B1365" s="1" t="s">
        <v>57</v>
      </c>
      <c r="C1365" s="1" t="s">
        <v>400</v>
      </c>
      <c r="D1365" s="1" t="n">
        <v>12</v>
      </c>
      <c r="E1365" s="1" t="n">
        <v>49</v>
      </c>
      <c r="F1365" s="1" t="s">
        <v>49</v>
      </c>
      <c r="G1365" s="1" t="s">
        <v>49</v>
      </c>
      <c r="H1365" s="1" t="n">
        <v>36</v>
      </c>
      <c r="I1365" s="1" t="n">
        <v>3331.8</v>
      </c>
      <c r="J1365" s="1" t="n">
        <v>300</v>
      </c>
    </row>
    <row r="1366" customFormat="false" ht="15" hidden="false" customHeight="true" outlineLevel="0" collapsed="false">
      <c r="A1366" s="1" t="s">
        <v>407</v>
      </c>
      <c r="B1366" s="1" t="s">
        <v>59</v>
      </c>
      <c r="C1366" s="1" t="s">
        <v>400</v>
      </c>
      <c r="D1366" s="1" t="n">
        <v>12</v>
      </c>
      <c r="E1366" s="1" t="n">
        <v>50</v>
      </c>
      <c r="F1366" s="1" t="s">
        <v>43</v>
      </c>
      <c r="G1366" s="1" t="s">
        <v>44</v>
      </c>
      <c r="H1366" s="1" t="n">
        <v>78</v>
      </c>
      <c r="I1366" s="1" t="n">
        <v>8599.5</v>
      </c>
      <c r="J1366" s="1" t="n">
        <v>300</v>
      </c>
    </row>
    <row r="1367" customFormat="false" ht="15" hidden="false" customHeight="true" outlineLevel="0" collapsed="false">
      <c r="A1367" s="1" t="s">
        <v>407</v>
      </c>
      <c r="B1367" s="1" t="s">
        <v>59</v>
      </c>
      <c r="C1367" s="1" t="s">
        <v>400</v>
      </c>
      <c r="D1367" s="1" t="n">
        <v>12</v>
      </c>
      <c r="E1367" s="1" t="n">
        <v>50</v>
      </c>
      <c r="F1367" s="1" t="s">
        <v>45</v>
      </c>
      <c r="G1367" s="1" t="s">
        <v>46</v>
      </c>
      <c r="H1367" s="1" t="n">
        <v>20</v>
      </c>
      <c r="I1367" s="1" t="n">
        <v>2204.2</v>
      </c>
      <c r="J1367" s="1" t="n">
        <v>300</v>
      </c>
    </row>
    <row r="1368" customFormat="false" ht="15" hidden="false" customHeight="true" outlineLevel="0" collapsed="false">
      <c r="A1368" s="1" t="s">
        <v>407</v>
      </c>
      <c r="B1368" s="1" t="s">
        <v>59</v>
      </c>
      <c r="C1368" s="1" t="s">
        <v>400</v>
      </c>
      <c r="D1368" s="1" t="n">
        <v>12</v>
      </c>
      <c r="E1368" s="1" t="n">
        <v>50</v>
      </c>
      <c r="F1368" s="1" t="s">
        <v>47</v>
      </c>
      <c r="G1368" s="1" t="s">
        <v>48</v>
      </c>
      <c r="H1368" s="1" t="n">
        <v>26</v>
      </c>
      <c r="I1368" s="1" t="n">
        <v>2275.26</v>
      </c>
      <c r="J1368" s="1" t="n">
        <v>300</v>
      </c>
    </row>
    <row r="1369" customFormat="false" ht="15" hidden="false" customHeight="true" outlineLevel="0" collapsed="false">
      <c r="A1369" s="1" t="s">
        <v>407</v>
      </c>
      <c r="B1369" s="1" t="s">
        <v>59</v>
      </c>
      <c r="C1369" s="1" t="s">
        <v>400</v>
      </c>
      <c r="D1369" s="1" t="n">
        <v>12</v>
      </c>
      <c r="E1369" s="1" t="n">
        <v>50</v>
      </c>
      <c r="F1369" s="1" t="s">
        <v>49</v>
      </c>
      <c r="G1369" s="1" t="s">
        <v>49</v>
      </c>
      <c r="H1369" s="1" t="n">
        <v>31</v>
      </c>
      <c r="I1369" s="1" t="n">
        <v>2570.52</v>
      </c>
      <c r="J1369" s="1" t="n">
        <v>300</v>
      </c>
    </row>
    <row r="1370" customFormat="false" ht="15" hidden="false" customHeight="true" outlineLevel="0" collapsed="false">
      <c r="A1370" s="1" t="s">
        <v>408</v>
      </c>
      <c r="B1370" s="1" t="s">
        <v>61</v>
      </c>
      <c r="C1370" s="1" t="s">
        <v>400</v>
      </c>
      <c r="D1370" s="1" t="n">
        <v>12</v>
      </c>
      <c r="E1370" s="1" t="n">
        <v>50</v>
      </c>
      <c r="F1370" s="1" t="s">
        <v>43</v>
      </c>
      <c r="G1370" s="1" t="s">
        <v>44</v>
      </c>
      <c r="H1370" s="1" t="n">
        <v>81</v>
      </c>
      <c r="I1370" s="1" t="n">
        <v>9387.09</v>
      </c>
      <c r="J1370" s="1" t="n">
        <v>300</v>
      </c>
    </row>
    <row r="1371" customFormat="false" ht="15" hidden="false" customHeight="true" outlineLevel="0" collapsed="false">
      <c r="A1371" s="1" t="s">
        <v>408</v>
      </c>
      <c r="B1371" s="1" t="s">
        <v>61</v>
      </c>
      <c r="C1371" s="1" t="s">
        <v>400</v>
      </c>
      <c r="D1371" s="1" t="n">
        <v>12</v>
      </c>
      <c r="E1371" s="1" t="n">
        <v>50</v>
      </c>
      <c r="F1371" s="1" t="s">
        <v>45</v>
      </c>
      <c r="G1371" s="1" t="s">
        <v>46</v>
      </c>
      <c r="H1371" s="1" t="n">
        <v>20</v>
      </c>
      <c r="I1371" s="1" t="n">
        <v>2104.4</v>
      </c>
      <c r="J1371" s="1" t="n">
        <v>300</v>
      </c>
    </row>
    <row r="1372" customFormat="false" ht="15" hidden="false" customHeight="true" outlineLevel="0" collapsed="false">
      <c r="A1372" s="1" t="s">
        <v>408</v>
      </c>
      <c r="B1372" s="1" t="s">
        <v>61</v>
      </c>
      <c r="C1372" s="1" t="s">
        <v>400</v>
      </c>
      <c r="D1372" s="1" t="n">
        <v>12</v>
      </c>
      <c r="E1372" s="1" t="n">
        <v>50</v>
      </c>
      <c r="F1372" s="1" t="s">
        <v>47</v>
      </c>
      <c r="G1372" s="1" t="s">
        <v>48</v>
      </c>
      <c r="H1372" s="1" t="n">
        <v>26</v>
      </c>
      <c r="I1372" s="1" t="n">
        <v>2468.96</v>
      </c>
      <c r="J1372" s="1" t="n">
        <v>300</v>
      </c>
    </row>
    <row r="1373" customFormat="false" ht="15" hidden="false" customHeight="true" outlineLevel="0" collapsed="false">
      <c r="A1373" s="1" t="s">
        <v>408</v>
      </c>
      <c r="B1373" s="1" t="s">
        <v>61</v>
      </c>
      <c r="C1373" s="1" t="s">
        <v>400</v>
      </c>
      <c r="D1373" s="1" t="n">
        <v>12</v>
      </c>
      <c r="E1373" s="1" t="n">
        <v>50</v>
      </c>
      <c r="F1373" s="1" t="s">
        <v>49</v>
      </c>
      <c r="G1373" s="1" t="s">
        <v>49</v>
      </c>
      <c r="H1373" s="1" t="n">
        <v>27</v>
      </c>
      <c r="I1373" s="1" t="n">
        <v>2390.04</v>
      </c>
      <c r="J1373" s="1" t="n">
        <v>300</v>
      </c>
    </row>
    <row r="1374" customFormat="false" ht="15" hidden="false" customHeight="true" outlineLevel="0" collapsed="false">
      <c r="A1374" s="1" t="s">
        <v>409</v>
      </c>
      <c r="B1374" s="1" t="s">
        <v>41</v>
      </c>
      <c r="C1374" s="1" t="s">
        <v>400</v>
      </c>
      <c r="D1374" s="1" t="n">
        <v>12</v>
      </c>
      <c r="E1374" s="1" t="n">
        <v>50</v>
      </c>
      <c r="F1374" s="1" t="s">
        <v>43</v>
      </c>
      <c r="G1374" s="1" t="s">
        <v>44</v>
      </c>
      <c r="H1374" s="1" t="n">
        <v>65</v>
      </c>
      <c r="I1374" s="1" t="n">
        <v>7250.1</v>
      </c>
      <c r="J1374" s="1" t="n">
        <v>300</v>
      </c>
    </row>
    <row r="1375" customFormat="false" ht="15" hidden="false" customHeight="true" outlineLevel="0" collapsed="false">
      <c r="A1375" s="1" t="s">
        <v>409</v>
      </c>
      <c r="B1375" s="1" t="s">
        <v>41</v>
      </c>
      <c r="C1375" s="1" t="s">
        <v>400</v>
      </c>
      <c r="D1375" s="1" t="n">
        <v>12</v>
      </c>
      <c r="E1375" s="1" t="n">
        <v>50</v>
      </c>
      <c r="F1375" s="1" t="s">
        <v>45</v>
      </c>
      <c r="G1375" s="1" t="s">
        <v>46</v>
      </c>
      <c r="H1375" s="1" t="n">
        <v>18</v>
      </c>
      <c r="I1375" s="1" t="n">
        <v>1677.24</v>
      </c>
      <c r="J1375" s="1" t="n">
        <v>300</v>
      </c>
    </row>
    <row r="1376" customFormat="false" ht="15" hidden="false" customHeight="true" outlineLevel="0" collapsed="false">
      <c r="A1376" s="1" t="s">
        <v>409</v>
      </c>
      <c r="B1376" s="1" t="s">
        <v>41</v>
      </c>
      <c r="C1376" s="1" t="s">
        <v>400</v>
      </c>
      <c r="D1376" s="1" t="n">
        <v>12</v>
      </c>
      <c r="E1376" s="1" t="n">
        <v>50</v>
      </c>
      <c r="F1376" s="1" t="s">
        <v>47</v>
      </c>
      <c r="G1376" s="1" t="s">
        <v>48</v>
      </c>
      <c r="H1376" s="1" t="n">
        <v>25</v>
      </c>
      <c r="I1376" s="1" t="n">
        <v>2281.25</v>
      </c>
      <c r="J1376" s="1" t="n">
        <v>300</v>
      </c>
    </row>
    <row r="1377" customFormat="false" ht="15" hidden="false" customHeight="true" outlineLevel="0" collapsed="false">
      <c r="A1377" s="1" t="s">
        <v>409</v>
      </c>
      <c r="B1377" s="1" t="s">
        <v>41</v>
      </c>
      <c r="C1377" s="1" t="s">
        <v>400</v>
      </c>
      <c r="D1377" s="1" t="n">
        <v>12</v>
      </c>
      <c r="E1377" s="1" t="n">
        <v>50</v>
      </c>
      <c r="F1377" s="1" t="s">
        <v>49</v>
      </c>
      <c r="G1377" s="1" t="s">
        <v>49</v>
      </c>
      <c r="H1377" s="1" t="n">
        <v>31</v>
      </c>
      <c r="I1377" s="1" t="n">
        <v>2905.94</v>
      </c>
      <c r="J1377" s="1" t="n">
        <v>300</v>
      </c>
    </row>
    <row r="1378" customFormat="false" ht="15" hidden="false" customHeight="true" outlineLevel="0" collapsed="false">
      <c r="A1378" s="1" t="s">
        <v>410</v>
      </c>
      <c r="B1378" s="1" t="s">
        <v>51</v>
      </c>
      <c r="C1378" s="1" t="s">
        <v>400</v>
      </c>
      <c r="D1378" s="1" t="n">
        <v>12</v>
      </c>
      <c r="E1378" s="1" t="n">
        <v>50</v>
      </c>
      <c r="F1378" s="1" t="s">
        <v>43</v>
      </c>
      <c r="G1378" s="1" t="s">
        <v>44</v>
      </c>
      <c r="H1378" s="1" t="n">
        <v>80</v>
      </c>
      <c r="I1378" s="1" t="n">
        <v>9002.4</v>
      </c>
      <c r="J1378" s="1" t="n">
        <v>300</v>
      </c>
    </row>
    <row r="1379" customFormat="false" ht="15" hidden="false" customHeight="true" outlineLevel="0" collapsed="false">
      <c r="A1379" s="1" t="s">
        <v>410</v>
      </c>
      <c r="B1379" s="1" t="s">
        <v>51</v>
      </c>
      <c r="C1379" s="1" t="s">
        <v>400</v>
      </c>
      <c r="D1379" s="1" t="n">
        <v>12</v>
      </c>
      <c r="E1379" s="1" t="n">
        <v>50</v>
      </c>
      <c r="F1379" s="1" t="s">
        <v>45</v>
      </c>
      <c r="G1379" s="1" t="s">
        <v>46</v>
      </c>
      <c r="H1379" s="1" t="n">
        <v>17</v>
      </c>
      <c r="I1379" s="1" t="n">
        <v>1655.29</v>
      </c>
      <c r="J1379" s="1" t="n">
        <v>300</v>
      </c>
    </row>
    <row r="1380" customFormat="false" ht="15" hidden="false" customHeight="true" outlineLevel="0" collapsed="false">
      <c r="A1380" s="1" t="s">
        <v>410</v>
      </c>
      <c r="B1380" s="1" t="s">
        <v>51</v>
      </c>
      <c r="C1380" s="1" t="s">
        <v>400</v>
      </c>
      <c r="D1380" s="1" t="n">
        <v>12</v>
      </c>
      <c r="E1380" s="1" t="n">
        <v>50</v>
      </c>
      <c r="F1380" s="1" t="s">
        <v>47</v>
      </c>
      <c r="G1380" s="1" t="s">
        <v>48</v>
      </c>
      <c r="H1380" s="1" t="n">
        <v>25</v>
      </c>
      <c r="I1380" s="1" t="n">
        <v>2204.5</v>
      </c>
      <c r="J1380" s="1" t="n">
        <v>300</v>
      </c>
    </row>
    <row r="1381" customFormat="false" ht="15" hidden="false" customHeight="true" outlineLevel="0" collapsed="false">
      <c r="A1381" s="1" t="s">
        <v>410</v>
      </c>
      <c r="B1381" s="1" t="s">
        <v>51</v>
      </c>
      <c r="C1381" s="1" t="s">
        <v>400</v>
      </c>
      <c r="D1381" s="1" t="n">
        <v>12</v>
      </c>
      <c r="E1381" s="1" t="n">
        <v>50</v>
      </c>
      <c r="F1381" s="1" t="s">
        <v>49</v>
      </c>
      <c r="G1381" s="1" t="s">
        <v>49</v>
      </c>
      <c r="H1381" s="1" t="n">
        <v>24</v>
      </c>
      <c r="I1381" s="1" t="n">
        <v>2132.4</v>
      </c>
      <c r="J1381" s="1" t="n">
        <v>300</v>
      </c>
    </row>
    <row r="1382" customFormat="false" ht="15" hidden="false" customHeight="true" outlineLevel="0" collapsed="false">
      <c r="A1382" s="1" t="s">
        <v>411</v>
      </c>
      <c r="B1382" s="1" t="s">
        <v>53</v>
      </c>
      <c r="C1382" s="1" t="s">
        <v>400</v>
      </c>
      <c r="D1382" s="1" t="n">
        <v>12</v>
      </c>
      <c r="E1382" s="1" t="n">
        <v>50</v>
      </c>
      <c r="F1382" s="1" t="s">
        <v>43</v>
      </c>
      <c r="G1382" s="1" t="s">
        <v>44</v>
      </c>
      <c r="H1382" s="1" t="n">
        <v>88</v>
      </c>
      <c r="I1382" s="1" t="n">
        <v>9511.04</v>
      </c>
      <c r="J1382" s="1" t="n">
        <v>300</v>
      </c>
    </row>
    <row r="1383" customFormat="false" ht="15" hidden="false" customHeight="true" outlineLevel="0" collapsed="false">
      <c r="A1383" s="1" t="s">
        <v>411</v>
      </c>
      <c r="B1383" s="1" t="s">
        <v>53</v>
      </c>
      <c r="C1383" s="1" t="s">
        <v>400</v>
      </c>
      <c r="D1383" s="1" t="n">
        <v>12</v>
      </c>
      <c r="E1383" s="1" t="n">
        <v>50</v>
      </c>
      <c r="F1383" s="1" t="s">
        <v>45</v>
      </c>
      <c r="G1383" s="1" t="s">
        <v>46</v>
      </c>
      <c r="H1383" s="1" t="n">
        <v>19</v>
      </c>
      <c r="I1383" s="1" t="n">
        <v>1829.51</v>
      </c>
      <c r="J1383" s="1" t="n">
        <v>300</v>
      </c>
    </row>
    <row r="1384" customFormat="false" ht="15" hidden="false" customHeight="true" outlineLevel="0" collapsed="false">
      <c r="A1384" s="1" t="s">
        <v>411</v>
      </c>
      <c r="B1384" s="1" t="s">
        <v>53</v>
      </c>
      <c r="C1384" s="1" t="s">
        <v>400</v>
      </c>
      <c r="D1384" s="1" t="n">
        <v>12</v>
      </c>
      <c r="E1384" s="1" t="n">
        <v>50</v>
      </c>
      <c r="F1384" s="1" t="s">
        <v>47</v>
      </c>
      <c r="G1384" s="1" t="s">
        <v>48</v>
      </c>
      <c r="H1384" s="1" t="n">
        <v>25</v>
      </c>
      <c r="I1384" s="1" t="n">
        <v>2423.5</v>
      </c>
      <c r="J1384" s="1" t="n">
        <v>300</v>
      </c>
    </row>
    <row r="1385" customFormat="false" ht="15" hidden="false" customHeight="true" outlineLevel="0" collapsed="false">
      <c r="A1385" s="1" t="s">
        <v>411</v>
      </c>
      <c r="B1385" s="1" t="s">
        <v>53</v>
      </c>
      <c r="C1385" s="1" t="s">
        <v>400</v>
      </c>
      <c r="D1385" s="1" t="n">
        <v>12</v>
      </c>
      <c r="E1385" s="1" t="n">
        <v>50</v>
      </c>
      <c r="F1385" s="1" t="s">
        <v>49</v>
      </c>
      <c r="G1385" s="1" t="s">
        <v>49</v>
      </c>
      <c r="H1385" s="1" t="n">
        <v>26</v>
      </c>
      <c r="I1385" s="1" t="n">
        <v>2287.74</v>
      </c>
      <c r="J1385" s="1" t="n">
        <v>300</v>
      </c>
    </row>
    <row r="1386" customFormat="false" ht="15" hidden="false" customHeight="true" outlineLevel="0" collapsed="false">
      <c r="A1386" s="1" t="s">
        <v>412</v>
      </c>
      <c r="B1386" s="1" t="s">
        <v>55</v>
      </c>
      <c r="C1386" s="1" t="s">
        <v>400</v>
      </c>
      <c r="D1386" s="1" t="n">
        <v>12</v>
      </c>
      <c r="E1386" s="1" t="n">
        <v>50</v>
      </c>
      <c r="F1386" s="1" t="s">
        <v>43</v>
      </c>
      <c r="G1386" s="1" t="s">
        <v>44</v>
      </c>
      <c r="H1386" s="1" t="n">
        <v>15</v>
      </c>
      <c r="I1386" s="1" t="n">
        <v>1683.3</v>
      </c>
      <c r="J1386" s="1" t="n">
        <v>300</v>
      </c>
    </row>
    <row r="1387" customFormat="false" ht="15" hidden="false" customHeight="true" outlineLevel="0" collapsed="false">
      <c r="A1387" s="1" t="s">
        <v>412</v>
      </c>
      <c r="B1387" s="1" t="s">
        <v>55</v>
      </c>
      <c r="C1387" s="1" t="s">
        <v>400</v>
      </c>
      <c r="D1387" s="1" t="n">
        <v>12</v>
      </c>
      <c r="E1387" s="1" t="n">
        <v>50</v>
      </c>
      <c r="F1387" s="1" t="s">
        <v>45</v>
      </c>
      <c r="G1387" s="1" t="s">
        <v>46</v>
      </c>
      <c r="H1387" s="1" t="n">
        <v>48</v>
      </c>
      <c r="I1387" s="1" t="n">
        <v>4588.8</v>
      </c>
      <c r="J1387" s="1" t="n">
        <v>300</v>
      </c>
    </row>
    <row r="1388" customFormat="false" ht="15" hidden="false" customHeight="true" outlineLevel="0" collapsed="false">
      <c r="A1388" s="1" t="s">
        <v>412</v>
      </c>
      <c r="B1388" s="1" t="s">
        <v>55</v>
      </c>
      <c r="C1388" s="1" t="s">
        <v>400</v>
      </c>
      <c r="D1388" s="1" t="n">
        <v>12</v>
      </c>
      <c r="E1388" s="1" t="n">
        <v>50</v>
      </c>
      <c r="F1388" s="1" t="s">
        <v>47</v>
      </c>
      <c r="G1388" s="1" t="s">
        <v>48</v>
      </c>
      <c r="H1388" s="1" t="n">
        <v>13</v>
      </c>
      <c r="I1388" s="1" t="n">
        <v>1089.4</v>
      </c>
      <c r="J1388" s="1" t="n">
        <v>300</v>
      </c>
    </row>
    <row r="1389" customFormat="false" ht="15" hidden="false" customHeight="true" outlineLevel="0" collapsed="false">
      <c r="A1389" s="1" t="s">
        <v>412</v>
      </c>
      <c r="B1389" s="1" t="s">
        <v>55</v>
      </c>
      <c r="C1389" s="1" t="s">
        <v>400</v>
      </c>
      <c r="D1389" s="1" t="n">
        <v>12</v>
      </c>
      <c r="E1389" s="1" t="n">
        <v>50</v>
      </c>
      <c r="F1389" s="1" t="s">
        <v>49</v>
      </c>
      <c r="G1389" s="1" t="s">
        <v>49</v>
      </c>
      <c r="H1389" s="1" t="n">
        <v>32</v>
      </c>
      <c r="I1389" s="1" t="n">
        <v>2694.08</v>
      </c>
      <c r="J1389" s="1" t="n">
        <v>300</v>
      </c>
    </row>
    <row r="1390" customFormat="false" ht="15" hidden="false" customHeight="true" outlineLevel="0" collapsed="false">
      <c r="A1390" s="1" t="s">
        <v>413</v>
      </c>
      <c r="B1390" s="1" t="s">
        <v>57</v>
      </c>
      <c r="C1390" s="1" t="s">
        <v>400</v>
      </c>
      <c r="D1390" s="1" t="n">
        <v>12</v>
      </c>
      <c r="E1390" s="1" t="n">
        <v>50</v>
      </c>
      <c r="F1390" s="1" t="s">
        <v>43</v>
      </c>
      <c r="G1390" s="1" t="s">
        <v>44</v>
      </c>
      <c r="H1390" s="1" t="n">
        <v>15</v>
      </c>
      <c r="I1390" s="1" t="n">
        <v>1678.65</v>
      </c>
      <c r="J1390" s="1" t="n">
        <v>300</v>
      </c>
    </row>
    <row r="1391" customFormat="false" ht="15" hidden="false" customHeight="true" outlineLevel="0" collapsed="false">
      <c r="A1391" s="1" t="s">
        <v>413</v>
      </c>
      <c r="B1391" s="1" t="s">
        <v>57</v>
      </c>
      <c r="C1391" s="1" t="s">
        <v>400</v>
      </c>
      <c r="D1391" s="1" t="n">
        <v>12</v>
      </c>
      <c r="E1391" s="1" t="n">
        <v>50</v>
      </c>
      <c r="F1391" s="1" t="s">
        <v>45</v>
      </c>
      <c r="G1391" s="1" t="s">
        <v>46</v>
      </c>
      <c r="H1391" s="1" t="n">
        <v>48</v>
      </c>
      <c r="I1391" s="1" t="n">
        <v>4942.56</v>
      </c>
      <c r="J1391" s="1" t="n">
        <v>300</v>
      </c>
    </row>
    <row r="1392" customFormat="false" ht="15" hidden="false" customHeight="true" outlineLevel="0" collapsed="false">
      <c r="A1392" s="1" t="s">
        <v>413</v>
      </c>
      <c r="B1392" s="1" t="s">
        <v>57</v>
      </c>
      <c r="C1392" s="1" t="s">
        <v>400</v>
      </c>
      <c r="D1392" s="1" t="n">
        <v>12</v>
      </c>
      <c r="E1392" s="1" t="n">
        <v>50</v>
      </c>
      <c r="F1392" s="1" t="s">
        <v>47</v>
      </c>
      <c r="G1392" s="1" t="s">
        <v>48</v>
      </c>
      <c r="H1392" s="1" t="n">
        <v>14</v>
      </c>
      <c r="I1392" s="1" t="n">
        <v>1243.06</v>
      </c>
      <c r="J1392" s="1" t="n">
        <v>300</v>
      </c>
    </row>
    <row r="1393" customFormat="false" ht="15" hidden="false" customHeight="true" outlineLevel="0" collapsed="false">
      <c r="A1393" s="1" t="s">
        <v>413</v>
      </c>
      <c r="B1393" s="1" t="s">
        <v>57</v>
      </c>
      <c r="C1393" s="1" t="s">
        <v>400</v>
      </c>
      <c r="D1393" s="1" t="n">
        <v>12</v>
      </c>
      <c r="E1393" s="1" t="n">
        <v>50</v>
      </c>
      <c r="F1393" s="1" t="s">
        <v>49</v>
      </c>
      <c r="G1393" s="1" t="s">
        <v>49</v>
      </c>
      <c r="H1393" s="1" t="n">
        <v>30</v>
      </c>
      <c r="I1393" s="1" t="n">
        <v>2409</v>
      </c>
      <c r="J1393" s="1" t="n">
        <v>300</v>
      </c>
    </row>
    <row r="1394" customFormat="false" ht="15" hidden="false" customHeight="true" outlineLevel="0" collapsed="false">
      <c r="A1394" s="1" t="s">
        <v>414</v>
      </c>
      <c r="B1394" s="1" t="s">
        <v>59</v>
      </c>
      <c r="C1394" s="1" t="s">
        <v>400</v>
      </c>
      <c r="D1394" s="1" t="n">
        <v>12</v>
      </c>
      <c r="E1394" s="1" t="n">
        <v>51</v>
      </c>
      <c r="F1394" s="1" t="s">
        <v>43</v>
      </c>
      <c r="G1394" s="1" t="s">
        <v>44</v>
      </c>
      <c r="H1394" s="1" t="n">
        <v>80</v>
      </c>
      <c r="I1394" s="1" t="n">
        <v>8892.8</v>
      </c>
      <c r="J1394" s="1" t="n">
        <v>300</v>
      </c>
    </row>
    <row r="1395" customFormat="false" ht="15" hidden="false" customHeight="true" outlineLevel="0" collapsed="false">
      <c r="A1395" s="1" t="s">
        <v>414</v>
      </c>
      <c r="B1395" s="1" t="s">
        <v>59</v>
      </c>
      <c r="C1395" s="1" t="s">
        <v>400</v>
      </c>
      <c r="D1395" s="1" t="n">
        <v>12</v>
      </c>
      <c r="E1395" s="1" t="n">
        <v>51</v>
      </c>
      <c r="F1395" s="1" t="s">
        <v>45</v>
      </c>
      <c r="G1395" s="1" t="s">
        <v>46</v>
      </c>
      <c r="H1395" s="1" t="n">
        <v>16</v>
      </c>
      <c r="I1395" s="1" t="n">
        <v>1476.8</v>
      </c>
      <c r="J1395" s="1" t="n">
        <v>300</v>
      </c>
    </row>
    <row r="1396" customFormat="false" ht="15" hidden="false" customHeight="true" outlineLevel="0" collapsed="false">
      <c r="A1396" s="1" t="s">
        <v>414</v>
      </c>
      <c r="B1396" s="1" t="s">
        <v>59</v>
      </c>
      <c r="C1396" s="1" t="s">
        <v>400</v>
      </c>
      <c r="D1396" s="1" t="n">
        <v>12</v>
      </c>
      <c r="E1396" s="1" t="n">
        <v>51</v>
      </c>
      <c r="F1396" s="1" t="s">
        <v>47</v>
      </c>
      <c r="G1396" s="1" t="s">
        <v>48</v>
      </c>
      <c r="H1396" s="1" t="n">
        <v>24</v>
      </c>
      <c r="I1396" s="1" t="n">
        <v>2241.36</v>
      </c>
      <c r="J1396" s="1" t="n">
        <v>300</v>
      </c>
    </row>
    <row r="1397" customFormat="false" ht="15" hidden="false" customHeight="true" outlineLevel="0" collapsed="false">
      <c r="A1397" s="1" t="s">
        <v>414</v>
      </c>
      <c r="B1397" s="1" t="s">
        <v>59</v>
      </c>
      <c r="C1397" s="1" t="s">
        <v>400</v>
      </c>
      <c r="D1397" s="1" t="n">
        <v>12</v>
      </c>
      <c r="E1397" s="1" t="n">
        <v>51</v>
      </c>
      <c r="F1397" s="1" t="s">
        <v>49</v>
      </c>
      <c r="G1397" s="1" t="s">
        <v>49</v>
      </c>
      <c r="H1397" s="1" t="n">
        <v>28</v>
      </c>
      <c r="I1397" s="1" t="n">
        <v>2318.12</v>
      </c>
      <c r="J1397" s="1" t="n">
        <v>300</v>
      </c>
    </row>
    <row r="1398" customFormat="false" ht="15" hidden="false" customHeight="true" outlineLevel="0" collapsed="false">
      <c r="A1398" s="1" t="s">
        <v>415</v>
      </c>
      <c r="B1398" s="1" t="s">
        <v>61</v>
      </c>
      <c r="C1398" s="1" t="s">
        <v>400</v>
      </c>
      <c r="D1398" s="1" t="n">
        <v>12</v>
      </c>
      <c r="E1398" s="1" t="n">
        <v>51</v>
      </c>
      <c r="F1398" s="1" t="s">
        <v>43</v>
      </c>
      <c r="G1398" s="1" t="s">
        <v>44</v>
      </c>
      <c r="H1398" s="1" t="n">
        <v>80</v>
      </c>
      <c r="I1398" s="1" t="n">
        <v>8580</v>
      </c>
      <c r="J1398" s="1" t="n">
        <v>300</v>
      </c>
    </row>
    <row r="1399" customFormat="false" ht="15" hidden="false" customHeight="true" outlineLevel="0" collapsed="false">
      <c r="A1399" s="1" t="s">
        <v>415</v>
      </c>
      <c r="B1399" s="1" t="s">
        <v>61</v>
      </c>
      <c r="C1399" s="1" t="s">
        <v>400</v>
      </c>
      <c r="D1399" s="1" t="n">
        <v>12</v>
      </c>
      <c r="E1399" s="1" t="n">
        <v>51</v>
      </c>
      <c r="F1399" s="1" t="s">
        <v>45</v>
      </c>
      <c r="G1399" s="1" t="s">
        <v>46</v>
      </c>
      <c r="H1399" s="1" t="n">
        <v>18</v>
      </c>
      <c r="I1399" s="1" t="n">
        <v>1709.82</v>
      </c>
      <c r="J1399" s="1" t="n">
        <v>300</v>
      </c>
    </row>
    <row r="1400" customFormat="false" ht="15" hidden="false" customHeight="true" outlineLevel="0" collapsed="false">
      <c r="A1400" s="1" t="s">
        <v>415</v>
      </c>
      <c r="B1400" s="1" t="s">
        <v>61</v>
      </c>
      <c r="C1400" s="1" t="s">
        <v>400</v>
      </c>
      <c r="D1400" s="1" t="n">
        <v>12</v>
      </c>
      <c r="E1400" s="1" t="n">
        <v>51</v>
      </c>
      <c r="F1400" s="1" t="s">
        <v>47</v>
      </c>
      <c r="G1400" s="1" t="s">
        <v>48</v>
      </c>
      <c r="H1400" s="1" t="n">
        <v>26</v>
      </c>
      <c r="I1400" s="1" t="n">
        <v>2144.74</v>
      </c>
      <c r="J1400" s="1" t="n">
        <v>300</v>
      </c>
    </row>
    <row r="1401" customFormat="false" ht="15" hidden="false" customHeight="true" outlineLevel="0" collapsed="false">
      <c r="A1401" s="1" t="s">
        <v>415</v>
      </c>
      <c r="B1401" s="1" t="s">
        <v>61</v>
      </c>
      <c r="C1401" s="1" t="s">
        <v>400</v>
      </c>
      <c r="D1401" s="1" t="n">
        <v>12</v>
      </c>
      <c r="E1401" s="1" t="n">
        <v>51</v>
      </c>
      <c r="F1401" s="1" t="s">
        <v>49</v>
      </c>
      <c r="G1401" s="1" t="s">
        <v>49</v>
      </c>
      <c r="H1401" s="1" t="n">
        <v>26</v>
      </c>
      <c r="I1401" s="1" t="n">
        <v>2267.2</v>
      </c>
      <c r="J1401" s="1" t="n">
        <v>300</v>
      </c>
    </row>
    <row r="1402" customFormat="false" ht="15" hidden="false" customHeight="true" outlineLevel="0" collapsed="false">
      <c r="A1402" s="1" t="s">
        <v>416</v>
      </c>
      <c r="B1402" s="1" t="s">
        <v>41</v>
      </c>
      <c r="C1402" s="1" t="s">
        <v>400</v>
      </c>
      <c r="D1402" s="1" t="n">
        <v>12</v>
      </c>
      <c r="E1402" s="1" t="n">
        <v>51</v>
      </c>
      <c r="F1402" s="1" t="s">
        <v>43</v>
      </c>
      <c r="G1402" s="1" t="s">
        <v>44</v>
      </c>
      <c r="H1402" s="1" t="n">
        <v>85</v>
      </c>
      <c r="I1402" s="1" t="n">
        <v>11212.35</v>
      </c>
      <c r="J1402" s="1" t="n">
        <v>300</v>
      </c>
    </row>
    <row r="1403" customFormat="false" ht="15" hidden="false" customHeight="true" outlineLevel="0" collapsed="false">
      <c r="A1403" s="1" t="s">
        <v>416</v>
      </c>
      <c r="B1403" s="1" t="s">
        <v>41</v>
      </c>
      <c r="C1403" s="1" t="s">
        <v>400</v>
      </c>
      <c r="D1403" s="1" t="n">
        <v>12</v>
      </c>
      <c r="E1403" s="1" t="n">
        <v>51</v>
      </c>
      <c r="F1403" s="1" t="s">
        <v>45</v>
      </c>
      <c r="G1403" s="1" t="s">
        <v>46</v>
      </c>
      <c r="H1403" s="1" t="n">
        <v>18</v>
      </c>
      <c r="I1403" s="1" t="n">
        <v>1693.08</v>
      </c>
      <c r="J1403" s="1" t="n">
        <v>300</v>
      </c>
    </row>
    <row r="1404" customFormat="false" ht="15" hidden="false" customHeight="true" outlineLevel="0" collapsed="false">
      <c r="A1404" s="1" t="s">
        <v>416</v>
      </c>
      <c r="B1404" s="1" t="s">
        <v>41</v>
      </c>
      <c r="C1404" s="1" t="s">
        <v>400</v>
      </c>
      <c r="D1404" s="1" t="n">
        <v>12</v>
      </c>
      <c r="E1404" s="1" t="n">
        <v>51</v>
      </c>
      <c r="F1404" s="1" t="s">
        <v>47</v>
      </c>
      <c r="G1404" s="1" t="s">
        <v>48</v>
      </c>
      <c r="H1404" s="1" t="n">
        <v>24</v>
      </c>
      <c r="I1404" s="1" t="n">
        <v>1980.96</v>
      </c>
      <c r="J1404" s="1" t="n">
        <v>300</v>
      </c>
    </row>
    <row r="1405" customFormat="false" ht="15" hidden="false" customHeight="true" outlineLevel="0" collapsed="false">
      <c r="A1405" s="1" t="s">
        <v>416</v>
      </c>
      <c r="B1405" s="1" t="s">
        <v>41</v>
      </c>
      <c r="C1405" s="1" t="s">
        <v>400</v>
      </c>
      <c r="D1405" s="1" t="n">
        <v>12</v>
      </c>
      <c r="E1405" s="1" t="n">
        <v>51</v>
      </c>
      <c r="F1405" s="1" t="s">
        <v>49</v>
      </c>
      <c r="G1405" s="1" t="s">
        <v>49</v>
      </c>
      <c r="H1405" s="1" t="n">
        <v>26</v>
      </c>
      <c r="I1405" s="1" t="n">
        <v>2115.62</v>
      </c>
      <c r="J1405" s="1" t="n">
        <v>300</v>
      </c>
    </row>
    <row r="1406" customFormat="false" ht="15" hidden="false" customHeight="true" outlineLevel="0" collapsed="false">
      <c r="A1406" s="1" t="s">
        <v>417</v>
      </c>
      <c r="B1406" s="1" t="s">
        <v>51</v>
      </c>
      <c r="C1406" s="1" t="s">
        <v>400</v>
      </c>
      <c r="D1406" s="1" t="n">
        <v>12</v>
      </c>
      <c r="E1406" s="1" t="n">
        <v>51</v>
      </c>
      <c r="F1406" s="1" t="s">
        <v>43</v>
      </c>
      <c r="G1406" s="1" t="s">
        <v>44</v>
      </c>
      <c r="H1406" s="1" t="n">
        <v>90</v>
      </c>
      <c r="I1406" s="1" t="n">
        <v>9883.8</v>
      </c>
      <c r="J1406" s="1" t="n">
        <v>300</v>
      </c>
    </row>
    <row r="1407" customFormat="false" ht="15" hidden="false" customHeight="true" outlineLevel="0" collapsed="false">
      <c r="A1407" s="1" t="s">
        <v>417</v>
      </c>
      <c r="B1407" s="1" t="s">
        <v>51</v>
      </c>
      <c r="C1407" s="1" t="s">
        <v>400</v>
      </c>
      <c r="D1407" s="1" t="n">
        <v>12</v>
      </c>
      <c r="E1407" s="1" t="n">
        <v>51</v>
      </c>
      <c r="F1407" s="1" t="s">
        <v>45</v>
      </c>
      <c r="G1407" s="1" t="s">
        <v>46</v>
      </c>
      <c r="H1407" s="1" t="n">
        <v>17</v>
      </c>
      <c r="I1407" s="1" t="n">
        <v>1636.59</v>
      </c>
      <c r="J1407" s="1" t="n">
        <v>300</v>
      </c>
    </row>
    <row r="1408" customFormat="false" ht="15" hidden="false" customHeight="true" outlineLevel="0" collapsed="false">
      <c r="A1408" s="1" t="s">
        <v>417</v>
      </c>
      <c r="B1408" s="1" t="s">
        <v>51</v>
      </c>
      <c r="C1408" s="1" t="s">
        <v>400</v>
      </c>
      <c r="D1408" s="1" t="n">
        <v>12</v>
      </c>
      <c r="E1408" s="1" t="n">
        <v>51</v>
      </c>
      <c r="F1408" s="1" t="s">
        <v>47</v>
      </c>
      <c r="G1408" s="1" t="s">
        <v>48</v>
      </c>
      <c r="H1408" s="1" t="n">
        <v>28</v>
      </c>
      <c r="I1408" s="1" t="n">
        <v>2537.08</v>
      </c>
      <c r="J1408" s="1" t="n">
        <v>300</v>
      </c>
    </row>
    <row r="1409" customFormat="false" ht="15" hidden="false" customHeight="true" outlineLevel="0" collapsed="false">
      <c r="A1409" s="1" t="s">
        <v>417</v>
      </c>
      <c r="B1409" s="1" t="s">
        <v>51</v>
      </c>
      <c r="C1409" s="1" t="s">
        <v>400</v>
      </c>
      <c r="D1409" s="1" t="n">
        <v>12</v>
      </c>
      <c r="E1409" s="1" t="n">
        <v>51</v>
      </c>
      <c r="F1409" s="1" t="s">
        <v>49</v>
      </c>
      <c r="G1409" s="1" t="s">
        <v>49</v>
      </c>
      <c r="H1409" s="1" t="n">
        <v>31</v>
      </c>
      <c r="I1409" s="1" t="n">
        <v>2785.04</v>
      </c>
      <c r="J1409" s="1" t="n">
        <v>300</v>
      </c>
    </row>
    <row r="1410" customFormat="false" ht="15" hidden="false" customHeight="true" outlineLevel="0" collapsed="false">
      <c r="A1410" s="1" t="s">
        <v>418</v>
      </c>
      <c r="B1410" s="1" t="s">
        <v>53</v>
      </c>
      <c r="C1410" s="1" t="s">
        <v>400</v>
      </c>
      <c r="D1410" s="1" t="n">
        <v>12</v>
      </c>
      <c r="E1410" s="1" t="n">
        <v>51</v>
      </c>
      <c r="F1410" s="1" t="s">
        <v>43</v>
      </c>
      <c r="G1410" s="1" t="s">
        <v>44</v>
      </c>
      <c r="H1410" s="1" t="n">
        <v>87</v>
      </c>
      <c r="I1410" s="1" t="n">
        <v>10098.09</v>
      </c>
      <c r="J1410" s="1" t="n">
        <v>300</v>
      </c>
    </row>
    <row r="1411" customFormat="false" ht="15" hidden="false" customHeight="true" outlineLevel="0" collapsed="false">
      <c r="A1411" s="1" t="s">
        <v>418</v>
      </c>
      <c r="B1411" s="1" t="s">
        <v>53</v>
      </c>
      <c r="C1411" s="1" t="s">
        <v>400</v>
      </c>
      <c r="D1411" s="1" t="n">
        <v>12</v>
      </c>
      <c r="E1411" s="1" t="n">
        <v>51</v>
      </c>
      <c r="F1411" s="1" t="s">
        <v>45</v>
      </c>
      <c r="G1411" s="1" t="s">
        <v>46</v>
      </c>
      <c r="H1411" s="1" t="n">
        <v>18</v>
      </c>
      <c r="I1411" s="1" t="n">
        <v>1593.18</v>
      </c>
      <c r="J1411" s="1" t="n">
        <v>300</v>
      </c>
    </row>
    <row r="1412" customFormat="false" ht="15" hidden="false" customHeight="true" outlineLevel="0" collapsed="false">
      <c r="A1412" s="1" t="s">
        <v>418</v>
      </c>
      <c r="B1412" s="1" t="s">
        <v>53</v>
      </c>
      <c r="C1412" s="1" t="s">
        <v>400</v>
      </c>
      <c r="D1412" s="1" t="n">
        <v>12</v>
      </c>
      <c r="E1412" s="1" t="n">
        <v>51</v>
      </c>
      <c r="F1412" s="1" t="s">
        <v>47</v>
      </c>
      <c r="G1412" s="1" t="s">
        <v>48</v>
      </c>
      <c r="H1412" s="1" t="n">
        <v>24</v>
      </c>
      <c r="I1412" s="1" t="n">
        <v>2329.68</v>
      </c>
      <c r="J1412" s="1" t="n">
        <v>300</v>
      </c>
    </row>
    <row r="1413" customFormat="false" ht="15" hidden="false" customHeight="true" outlineLevel="0" collapsed="false">
      <c r="A1413" s="1" t="s">
        <v>418</v>
      </c>
      <c r="B1413" s="1" t="s">
        <v>53</v>
      </c>
      <c r="C1413" s="1" t="s">
        <v>400</v>
      </c>
      <c r="D1413" s="1" t="n">
        <v>12</v>
      </c>
      <c r="E1413" s="1" t="n">
        <v>51</v>
      </c>
      <c r="F1413" s="1" t="s">
        <v>49</v>
      </c>
      <c r="G1413" s="1" t="s">
        <v>49</v>
      </c>
      <c r="H1413" s="1" t="n">
        <v>26</v>
      </c>
      <c r="I1413" s="1" t="n">
        <v>2039.18</v>
      </c>
      <c r="J1413" s="1" t="n">
        <v>300</v>
      </c>
    </row>
    <row r="1414" customFormat="false" ht="15" hidden="false" customHeight="true" outlineLevel="0" collapsed="false">
      <c r="A1414" s="1" t="s">
        <v>419</v>
      </c>
      <c r="B1414" s="1" t="s">
        <v>55</v>
      </c>
      <c r="C1414" s="1" t="s">
        <v>400</v>
      </c>
      <c r="D1414" s="1" t="n">
        <v>12</v>
      </c>
      <c r="E1414" s="1" t="n">
        <v>51</v>
      </c>
      <c r="F1414" s="1" t="s">
        <v>43</v>
      </c>
      <c r="G1414" s="1" t="s">
        <v>44</v>
      </c>
      <c r="H1414" s="1" t="n">
        <v>16</v>
      </c>
      <c r="I1414" s="1" t="n">
        <v>2002.72</v>
      </c>
      <c r="J1414" s="1" t="n">
        <v>300</v>
      </c>
    </row>
    <row r="1415" customFormat="false" ht="15" hidden="false" customHeight="true" outlineLevel="0" collapsed="false">
      <c r="A1415" s="1" t="s">
        <v>419</v>
      </c>
      <c r="B1415" s="1" t="s">
        <v>55</v>
      </c>
      <c r="C1415" s="1" t="s">
        <v>400</v>
      </c>
      <c r="D1415" s="1" t="n">
        <v>12</v>
      </c>
      <c r="E1415" s="1" t="n">
        <v>51</v>
      </c>
      <c r="F1415" s="1" t="s">
        <v>45</v>
      </c>
      <c r="G1415" s="1" t="s">
        <v>46</v>
      </c>
      <c r="H1415" s="1" t="n">
        <v>54</v>
      </c>
      <c r="I1415" s="1" t="n">
        <v>5384.34</v>
      </c>
      <c r="J1415" s="1" t="n">
        <v>300</v>
      </c>
    </row>
    <row r="1416" customFormat="false" ht="15" hidden="false" customHeight="true" outlineLevel="0" collapsed="false">
      <c r="A1416" s="1" t="s">
        <v>419</v>
      </c>
      <c r="B1416" s="1" t="s">
        <v>55</v>
      </c>
      <c r="C1416" s="1" t="s">
        <v>400</v>
      </c>
      <c r="D1416" s="1" t="n">
        <v>12</v>
      </c>
      <c r="E1416" s="1" t="n">
        <v>51</v>
      </c>
      <c r="F1416" s="1" t="s">
        <v>47</v>
      </c>
      <c r="G1416" s="1" t="s">
        <v>48</v>
      </c>
      <c r="H1416" s="1" t="n">
        <v>14</v>
      </c>
      <c r="I1416" s="1" t="n">
        <v>1265.04</v>
      </c>
      <c r="J1416" s="1" t="n">
        <v>300</v>
      </c>
    </row>
    <row r="1417" customFormat="false" ht="15" hidden="false" customHeight="true" outlineLevel="0" collapsed="false">
      <c r="A1417" s="1" t="s">
        <v>419</v>
      </c>
      <c r="B1417" s="1" t="s">
        <v>55</v>
      </c>
      <c r="C1417" s="1" t="s">
        <v>400</v>
      </c>
      <c r="D1417" s="1" t="n">
        <v>12</v>
      </c>
      <c r="E1417" s="1" t="n">
        <v>51</v>
      </c>
      <c r="F1417" s="1" t="s">
        <v>49</v>
      </c>
      <c r="G1417" s="1" t="s">
        <v>49</v>
      </c>
      <c r="H1417" s="1" t="n">
        <v>28</v>
      </c>
      <c r="I1417" s="1" t="n">
        <v>2265.2</v>
      </c>
      <c r="J1417" s="1" t="n">
        <v>300</v>
      </c>
    </row>
    <row r="1418" customFormat="false" ht="15" hidden="false" customHeight="true" outlineLevel="0" collapsed="false">
      <c r="A1418" s="1" t="s">
        <v>420</v>
      </c>
      <c r="B1418" s="1" t="s">
        <v>57</v>
      </c>
      <c r="C1418" s="1" t="s">
        <v>400</v>
      </c>
      <c r="D1418" s="1" t="n">
        <v>12</v>
      </c>
      <c r="E1418" s="1" t="n">
        <v>51</v>
      </c>
      <c r="F1418" s="1" t="s">
        <v>43</v>
      </c>
      <c r="G1418" s="1" t="s">
        <v>44</v>
      </c>
      <c r="H1418" s="1" t="n">
        <v>18</v>
      </c>
      <c r="I1418" s="1" t="n">
        <v>2010.42</v>
      </c>
      <c r="J1418" s="1" t="n">
        <v>300</v>
      </c>
    </row>
    <row r="1419" customFormat="false" ht="15" hidden="false" customHeight="true" outlineLevel="0" collapsed="false">
      <c r="A1419" s="1" t="s">
        <v>420</v>
      </c>
      <c r="B1419" s="1" t="s">
        <v>57</v>
      </c>
      <c r="C1419" s="1" t="s">
        <v>400</v>
      </c>
      <c r="D1419" s="1" t="n">
        <v>12</v>
      </c>
      <c r="E1419" s="1" t="n">
        <v>51</v>
      </c>
      <c r="F1419" s="1" t="s">
        <v>45</v>
      </c>
      <c r="G1419" s="1" t="s">
        <v>46</v>
      </c>
      <c r="H1419" s="1" t="n">
        <v>47</v>
      </c>
      <c r="I1419" s="1" t="n">
        <v>4619.63</v>
      </c>
      <c r="J1419" s="1" t="n">
        <v>300</v>
      </c>
    </row>
    <row r="1420" customFormat="false" ht="15" hidden="false" customHeight="true" outlineLevel="0" collapsed="false">
      <c r="A1420" s="1" t="s">
        <v>420</v>
      </c>
      <c r="B1420" s="1" t="s">
        <v>57</v>
      </c>
      <c r="C1420" s="1" t="s">
        <v>400</v>
      </c>
      <c r="D1420" s="1" t="n">
        <v>12</v>
      </c>
      <c r="E1420" s="1" t="n">
        <v>51</v>
      </c>
      <c r="F1420" s="1" t="s">
        <v>47</v>
      </c>
      <c r="G1420" s="1" t="s">
        <v>48</v>
      </c>
      <c r="H1420" s="1" t="n">
        <v>15</v>
      </c>
      <c r="I1420" s="1" t="n">
        <v>1521</v>
      </c>
      <c r="J1420" s="1" t="n">
        <v>300</v>
      </c>
    </row>
    <row r="1421" customFormat="false" ht="15" hidden="false" customHeight="true" outlineLevel="0" collapsed="false">
      <c r="A1421" s="1" t="s">
        <v>420</v>
      </c>
      <c r="B1421" s="1" t="s">
        <v>57</v>
      </c>
      <c r="C1421" s="1" t="s">
        <v>400</v>
      </c>
      <c r="D1421" s="1" t="n">
        <v>12</v>
      </c>
      <c r="E1421" s="1" t="n">
        <v>51</v>
      </c>
      <c r="F1421" s="1" t="s">
        <v>49</v>
      </c>
      <c r="G1421" s="1" t="s">
        <v>49</v>
      </c>
      <c r="H1421" s="1" t="n">
        <v>40</v>
      </c>
      <c r="I1421" s="1" t="n">
        <v>3393.2</v>
      </c>
      <c r="J1421" s="1" t="n">
        <v>300</v>
      </c>
    </row>
    <row r="1422" customFormat="false" ht="15" hidden="false" customHeight="true" outlineLevel="0" collapsed="false">
      <c r="A1422" s="1" t="s">
        <v>421</v>
      </c>
      <c r="B1422" s="1" t="s">
        <v>59</v>
      </c>
      <c r="C1422" s="1" t="s">
        <v>400</v>
      </c>
      <c r="D1422" s="1" t="n">
        <v>12</v>
      </c>
      <c r="E1422" s="1" t="n">
        <v>52</v>
      </c>
      <c r="F1422" s="1" t="s">
        <v>43</v>
      </c>
      <c r="G1422" s="1" t="s">
        <v>44</v>
      </c>
      <c r="H1422" s="1" t="n">
        <v>86</v>
      </c>
      <c r="I1422" s="1" t="n">
        <v>8877.78</v>
      </c>
      <c r="J1422" s="1" t="n">
        <v>300</v>
      </c>
    </row>
    <row r="1423" customFormat="false" ht="15" hidden="false" customHeight="true" outlineLevel="0" collapsed="false">
      <c r="A1423" s="1" t="s">
        <v>421</v>
      </c>
      <c r="B1423" s="1" t="s">
        <v>59</v>
      </c>
      <c r="C1423" s="1" t="s">
        <v>400</v>
      </c>
      <c r="D1423" s="1" t="n">
        <v>12</v>
      </c>
      <c r="E1423" s="1" t="n">
        <v>52</v>
      </c>
      <c r="F1423" s="1" t="s">
        <v>45</v>
      </c>
      <c r="G1423" s="1" t="s">
        <v>46</v>
      </c>
      <c r="H1423" s="1" t="n">
        <v>20</v>
      </c>
      <c r="I1423" s="1" t="n">
        <v>1861.4</v>
      </c>
      <c r="J1423" s="1" t="n">
        <v>300</v>
      </c>
    </row>
    <row r="1424" customFormat="false" ht="15" hidden="false" customHeight="true" outlineLevel="0" collapsed="false">
      <c r="A1424" s="1" t="s">
        <v>421</v>
      </c>
      <c r="B1424" s="1" t="s">
        <v>59</v>
      </c>
      <c r="C1424" s="1" t="s">
        <v>400</v>
      </c>
      <c r="D1424" s="1" t="n">
        <v>12</v>
      </c>
      <c r="E1424" s="1" t="n">
        <v>52</v>
      </c>
      <c r="F1424" s="1" t="s">
        <v>47</v>
      </c>
      <c r="G1424" s="1" t="s">
        <v>48</v>
      </c>
      <c r="H1424" s="1" t="n">
        <v>25</v>
      </c>
      <c r="I1424" s="1" t="n">
        <v>2157.75</v>
      </c>
      <c r="J1424" s="1" t="n">
        <v>300</v>
      </c>
    </row>
    <row r="1425" customFormat="false" ht="15" hidden="false" customHeight="true" outlineLevel="0" collapsed="false">
      <c r="A1425" s="1" t="s">
        <v>421</v>
      </c>
      <c r="B1425" s="1" t="s">
        <v>59</v>
      </c>
      <c r="C1425" s="1" t="s">
        <v>400</v>
      </c>
      <c r="D1425" s="1" t="n">
        <v>12</v>
      </c>
      <c r="E1425" s="1" t="n">
        <v>52</v>
      </c>
      <c r="F1425" s="1" t="s">
        <v>49</v>
      </c>
      <c r="G1425" s="1" t="s">
        <v>49</v>
      </c>
      <c r="H1425" s="1" t="n">
        <v>25</v>
      </c>
      <c r="I1425" s="1" t="n">
        <v>2033.75</v>
      </c>
      <c r="J1425" s="1" t="n">
        <v>300</v>
      </c>
    </row>
    <row r="1426" customFormat="false" ht="15" hidden="false" customHeight="true" outlineLevel="0" collapsed="false">
      <c r="A1426" s="1" t="s">
        <v>422</v>
      </c>
      <c r="B1426" s="1" t="s">
        <v>61</v>
      </c>
      <c r="C1426" s="1" t="s">
        <v>400</v>
      </c>
      <c r="D1426" s="1" t="n">
        <v>12</v>
      </c>
      <c r="E1426" s="1" t="n">
        <v>52</v>
      </c>
      <c r="F1426" s="1" t="s">
        <v>43</v>
      </c>
      <c r="G1426" s="1" t="s">
        <v>44</v>
      </c>
      <c r="H1426" s="1" t="n">
        <v>79</v>
      </c>
      <c r="I1426" s="1" t="n">
        <v>8681.31</v>
      </c>
      <c r="J1426" s="1" t="n">
        <v>300</v>
      </c>
    </row>
    <row r="1427" customFormat="false" ht="15" hidden="false" customHeight="true" outlineLevel="0" collapsed="false">
      <c r="A1427" s="1" t="s">
        <v>422</v>
      </c>
      <c r="B1427" s="1" t="s">
        <v>61</v>
      </c>
      <c r="C1427" s="1" t="s">
        <v>400</v>
      </c>
      <c r="D1427" s="1" t="n">
        <v>12</v>
      </c>
      <c r="E1427" s="1" t="n">
        <v>52</v>
      </c>
      <c r="F1427" s="1" t="s">
        <v>45</v>
      </c>
      <c r="G1427" s="1" t="s">
        <v>46</v>
      </c>
      <c r="H1427" s="1" t="n">
        <v>17</v>
      </c>
      <c r="I1427" s="1" t="n">
        <v>1786.53</v>
      </c>
      <c r="J1427" s="1" t="n">
        <v>300</v>
      </c>
    </row>
    <row r="1428" customFormat="false" ht="15" hidden="false" customHeight="true" outlineLevel="0" collapsed="false">
      <c r="A1428" s="1" t="s">
        <v>422</v>
      </c>
      <c r="B1428" s="1" t="s">
        <v>61</v>
      </c>
      <c r="C1428" s="1" t="s">
        <v>400</v>
      </c>
      <c r="D1428" s="1" t="n">
        <v>12</v>
      </c>
      <c r="E1428" s="1" t="n">
        <v>52</v>
      </c>
      <c r="F1428" s="1" t="s">
        <v>47</v>
      </c>
      <c r="G1428" s="1" t="s">
        <v>48</v>
      </c>
      <c r="H1428" s="1" t="n">
        <v>22</v>
      </c>
      <c r="I1428" s="1" t="n">
        <v>2059.42</v>
      </c>
      <c r="J1428" s="1" t="n">
        <v>300</v>
      </c>
    </row>
    <row r="1429" customFormat="false" ht="15" hidden="false" customHeight="true" outlineLevel="0" collapsed="false">
      <c r="A1429" s="1" t="s">
        <v>422</v>
      </c>
      <c r="B1429" s="1" t="s">
        <v>61</v>
      </c>
      <c r="C1429" s="1" t="s">
        <v>400</v>
      </c>
      <c r="D1429" s="1" t="n">
        <v>12</v>
      </c>
      <c r="E1429" s="1" t="n">
        <v>52</v>
      </c>
      <c r="F1429" s="1" t="s">
        <v>49</v>
      </c>
      <c r="G1429" s="1" t="s">
        <v>49</v>
      </c>
      <c r="H1429" s="1" t="n">
        <v>29</v>
      </c>
      <c r="I1429" s="1" t="n">
        <v>2407.29</v>
      </c>
      <c r="J1429" s="1" t="n">
        <v>300</v>
      </c>
    </row>
    <row r="1430" customFormat="false" ht="15" hidden="false" customHeight="true" outlineLevel="0" collapsed="false">
      <c r="A1430" s="1" t="s">
        <v>423</v>
      </c>
      <c r="B1430" s="1" t="s">
        <v>41</v>
      </c>
      <c r="C1430" s="1" t="s">
        <v>400</v>
      </c>
      <c r="D1430" s="1" t="n">
        <v>12</v>
      </c>
      <c r="E1430" s="1" t="n">
        <v>52</v>
      </c>
      <c r="F1430" s="1" t="s">
        <v>43</v>
      </c>
      <c r="G1430" s="1" t="s">
        <v>44</v>
      </c>
      <c r="H1430" s="1" t="n">
        <v>78</v>
      </c>
      <c r="I1430" s="1" t="n">
        <v>8735.22</v>
      </c>
      <c r="J1430" s="1" t="n">
        <v>300</v>
      </c>
    </row>
    <row r="1431" customFormat="false" ht="15" hidden="false" customHeight="true" outlineLevel="0" collapsed="false">
      <c r="A1431" s="1" t="s">
        <v>423</v>
      </c>
      <c r="B1431" s="1" t="s">
        <v>41</v>
      </c>
      <c r="C1431" s="1" t="s">
        <v>400</v>
      </c>
      <c r="D1431" s="1" t="n">
        <v>12</v>
      </c>
      <c r="E1431" s="1" t="n">
        <v>52</v>
      </c>
      <c r="F1431" s="1" t="s">
        <v>45</v>
      </c>
      <c r="G1431" s="1" t="s">
        <v>46</v>
      </c>
      <c r="H1431" s="1" t="n">
        <v>19</v>
      </c>
      <c r="I1431" s="1" t="n">
        <v>1923.75</v>
      </c>
      <c r="J1431" s="1" t="n">
        <v>300</v>
      </c>
    </row>
    <row r="1432" customFormat="false" ht="15" hidden="false" customHeight="true" outlineLevel="0" collapsed="false">
      <c r="A1432" s="1" t="s">
        <v>423</v>
      </c>
      <c r="B1432" s="1" t="s">
        <v>41</v>
      </c>
      <c r="C1432" s="1" t="s">
        <v>400</v>
      </c>
      <c r="D1432" s="1" t="n">
        <v>12</v>
      </c>
      <c r="E1432" s="1" t="n">
        <v>52</v>
      </c>
      <c r="F1432" s="1" t="s">
        <v>47</v>
      </c>
      <c r="G1432" s="1" t="s">
        <v>48</v>
      </c>
      <c r="H1432" s="1" t="n">
        <v>23</v>
      </c>
      <c r="I1432" s="1" t="n">
        <v>2186.61</v>
      </c>
      <c r="J1432" s="1" t="n">
        <v>300</v>
      </c>
    </row>
    <row r="1433" customFormat="false" ht="15" hidden="false" customHeight="true" outlineLevel="0" collapsed="false">
      <c r="A1433" s="1" t="s">
        <v>423</v>
      </c>
      <c r="B1433" s="1" t="s">
        <v>41</v>
      </c>
      <c r="C1433" s="1" t="s">
        <v>400</v>
      </c>
      <c r="D1433" s="1" t="n">
        <v>12</v>
      </c>
      <c r="E1433" s="1" t="n">
        <v>52</v>
      </c>
      <c r="F1433" s="1" t="s">
        <v>49</v>
      </c>
      <c r="G1433" s="1" t="s">
        <v>49</v>
      </c>
      <c r="H1433" s="1" t="n">
        <v>24</v>
      </c>
      <c r="I1433" s="1" t="n">
        <v>2139.6</v>
      </c>
      <c r="J1433" s="1" t="n">
        <v>300</v>
      </c>
    </row>
    <row r="1434" customFormat="false" ht="15" hidden="false" customHeight="true" outlineLevel="0" collapsed="false">
      <c r="A1434" s="1" t="s">
        <v>424</v>
      </c>
      <c r="B1434" s="1" t="s">
        <v>51</v>
      </c>
      <c r="C1434" s="1" t="s">
        <v>400</v>
      </c>
      <c r="D1434" s="1" t="n">
        <v>12</v>
      </c>
      <c r="E1434" s="1" t="n">
        <v>52</v>
      </c>
      <c r="F1434" s="1" t="s">
        <v>43</v>
      </c>
      <c r="G1434" s="1" t="s">
        <v>44</v>
      </c>
      <c r="H1434" s="1" t="n">
        <v>87</v>
      </c>
      <c r="I1434" s="1" t="n">
        <v>9697.02</v>
      </c>
      <c r="J1434" s="1" t="n">
        <v>300</v>
      </c>
    </row>
    <row r="1435" customFormat="false" ht="15" hidden="false" customHeight="true" outlineLevel="0" collapsed="false">
      <c r="A1435" s="1" t="s">
        <v>424</v>
      </c>
      <c r="B1435" s="1" t="s">
        <v>51</v>
      </c>
      <c r="C1435" s="1" t="s">
        <v>400</v>
      </c>
      <c r="D1435" s="1" t="n">
        <v>12</v>
      </c>
      <c r="E1435" s="1" t="n">
        <v>52</v>
      </c>
      <c r="F1435" s="1" t="s">
        <v>45</v>
      </c>
      <c r="G1435" s="1" t="s">
        <v>46</v>
      </c>
      <c r="H1435" s="1" t="n">
        <v>16</v>
      </c>
      <c r="I1435" s="1" t="n">
        <v>1516.16</v>
      </c>
      <c r="J1435" s="1" t="n">
        <v>300</v>
      </c>
    </row>
    <row r="1436" customFormat="false" ht="15" hidden="false" customHeight="true" outlineLevel="0" collapsed="false">
      <c r="A1436" s="1" t="s">
        <v>424</v>
      </c>
      <c r="B1436" s="1" t="s">
        <v>51</v>
      </c>
      <c r="C1436" s="1" t="s">
        <v>400</v>
      </c>
      <c r="D1436" s="1" t="n">
        <v>12</v>
      </c>
      <c r="E1436" s="1" t="n">
        <v>52</v>
      </c>
      <c r="F1436" s="1" t="s">
        <v>47</v>
      </c>
      <c r="G1436" s="1" t="s">
        <v>48</v>
      </c>
      <c r="H1436" s="1" t="n">
        <v>26</v>
      </c>
      <c r="I1436" s="1" t="n">
        <v>2579.2</v>
      </c>
      <c r="J1436" s="1" t="n">
        <v>300</v>
      </c>
    </row>
    <row r="1437" customFormat="false" ht="15" hidden="false" customHeight="true" outlineLevel="0" collapsed="false">
      <c r="A1437" s="1" t="s">
        <v>424</v>
      </c>
      <c r="B1437" s="1" t="s">
        <v>51</v>
      </c>
      <c r="C1437" s="1" t="s">
        <v>400</v>
      </c>
      <c r="D1437" s="1" t="n">
        <v>12</v>
      </c>
      <c r="E1437" s="1" t="n">
        <v>52</v>
      </c>
      <c r="F1437" s="1" t="s">
        <v>49</v>
      </c>
      <c r="G1437" s="1" t="s">
        <v>49</v>
      </c>
      <c r="H1437" s="1" t="n">
        <v>25</v>
      </c>
      <c r="I1437" s="1" t="n">
        <v>2200.25</v>
      </c>
      <c r="J1437" s="1" t="n">
        <v>300</v>
      </c>
    </row>
    <row r="1438" customFormat="false" ht="15" hidden="false" customHeight="true" outlineLevel="0" collapsed="false">
      <c r="A1438" s="1" t="s">
        <v>425</v>
      </c>
      <c r="B1438" s="1" t="s">
        <v>53</v>
      </c>
      <c r="C1438" s="1" t="s">
        <v>400</v>
      </c>
      <c r="D1438" s="1" t="n">
        <v>12</v>
      </c>
      <c r="E1438" s="1" t="n">
        <v>52</v>
      </c>
      <c r="F1438" s="1" t="s">
        <v>43</v>
      </c>
      <c r="G1438" s="1" t="s">
        <v>44</v>
      </c>
      <c r="H1438" s="1" t="n">
        <v>68</v>
      </c>
      <c r="I1438" s="1" t="n">
        <v>7451.44</v>
      </c>
      <c r="J1438" s="1" t="n">
        <v>300</v>
      </c>
    </row>
    <row r="1439" customFormat="false" ht="15" hidden="false" customHeight="true" outlineLevel="0" collapsed="false">
      <c r="A1439" s="1" t="s">
        <v>425</v>
      </c>
      <c r="B1439" s="1" t="s">
        <v>53</v>
      </c>
      <c r="C1439" s="1" t="s">
        <v>400</v>
      </c>
      <c r="D1439" s="1" t="n">
        <v>12</v>
      </c>
      <c r="E1439" s="1" t="n">
        <v>52</v>
      </c>
      <c r="F1439" s="1" t="s">
        <v>45</v>
      </c>
      <c r="G1439" s="1" t="s">
        <v>46</v>
      </c>
      <c r="H1439" s="1" t="n">
        <v>18</v>
      </c>
      <c r="I1439" s="1" t="n">
        <v>1703.16</v>
      </c>
      <c r="J1439" s="1" t="n">
        <v>300</v>
      </c>
    </row>
    <row r="1440" customFormat="false" ht="15" hidden="false" customHeight="true" outlineLevel="0" collapsed="false">
      <c r="A1440" s="1" t="s">
        <v>425</v>
      </c>
      <c r="B1440" s="1" t="s">
        <v>53</v>
      </c>
      <c r="C1440" s="1" t="s">
        <v>400</v>
      </c>
      <c r="D1440" s="1" t="n">
        <v>12</v>
      </c>
      <c r="E1440" s="1" t="n">
        <v>52</v>
      </c>
      <c r="F1440" s="1" t="s">
        <v>47</v>
      </c>
      <c r="G1440" s="1" t="s">
        <v>48</v>
      </c>
      <c r="H1440" s="1" t="n">
        <v>23</v>
      </c>
      <c r="I1440" s="1" t="n">
        <v>2039.87</v>
      </c>
      <c r="J1440" s="1" t="n">
        <v>300</v>
      </c>
    </row>
    <row r="1441" customFormat="false" ht="15" hidden="false" customHeight="true" outlineLevel="0" collapsed="false">
      <c r="A1441" s="1" t="s">
        <v>425</v>
      </c>
      <c r="B1441" s="1" t="s">
        <v>53</v>
      </c>
      <c r="C1441" s="1" t="s">
        <v>400</v>
      </c>
      <c r="D1441" s="1" t="n">
        <v>12</v>
      </c>
      <c r="E1441" s="1" t="n">
        <v>52</v>
      </c>
      <c r="F1441" s="1" t="s">
        <v>49</v>
      </c>
      <c r="G1441" s="1" t="s">
        <v>49</v>
      </c>
      <c r="H1441" s="1" t="n">
        <v>27</v>
      </c>
      <c r="I1441" s="1" t="n">
        <v>2286.63</v>
      </c>
      <c r="J1441" s="1" t="n">
        <v>300</v>
      </c>
    </row>
    <row r="1442" customFormat="false" ht="15" hidden="false" customHeight="true" outlineLevel="0" collapsed="false">
      <c r="A1442" s="1" t="s">
        <v>426</v>
      </c>
      <c r="B1442" s="1" t="s">
        <v>55</v>
      </c>
      <c r="C1442" s="1" t="s">
        <v>400</v>
      </c>
      <c r="D1442" s="1" t="n">
        <v>12</v>
      </c>
      <c r="E1442" s="1" t="n">
        <v>52</v>
      </c>
      <c r="F1442" s="1" t="s">
        <v>43</v>
      </c>
      <c r="G1442" s="1" t="s">
        <v>44</v>
      </c>
      <c r="H1442" s="1" t="n">
        <v>13</v>
      </c>
      <c r="I1442" s="1" t="n">
        <v>1288.43</v>
      </c>
      <c r="J1442" s="1" t="n">
        <v>300</v>
      </c>
    </row>
    <row r="1443" customFormat="false" ht="15" hidden="false" customHeight="true" outlineLevel="0" collapsed="false">
      <c r="A1443" s="1" t="s">
        <v>426</v>
      </c>
      <c r="B1443" s="1" t="s">
        <v>55</v>
      </c>
      <c r="C1443" s="1" t="s">
        <v>400</v>
      </c>
      <c r="D1443" s="1" t="n">
        <v>12</v>
      </c>
      <c r="E1443" s="1" t="n">
        <v>52</v>
      </c>
      <c r="F1443" s="1" t="s">
        <v>45</v>
      </c>
      <c r="G1443" s="1" t="s">
        <v>46</v>
      </c>
      <c r="H1443" s="1" t="n">
        <v>46</v>
      </c>
      <c r="I1443" s="1" t="n">
        <v>4730.64</v>
      </c>
      <c r="J1443" s="1" t="n">
        <v>300</v>
      </c>
    </row>
    <row r="1444" customFormat="false" ht="15" hidden="false" customHeight="true" outlineLevel="0" collapsed="false">
      <c r="A1444" s="1" t="s">
        <v>426</v>
      </c>
      <c r="B1444" s="1" t="s">
        <v>55</v>
      </c>
      <c r="C1444" s="1" t="s">
        <v>400</v>
      </c>
      <c r="D1444" s="1" t="n">
        <v>12</v>
      </c>
      <c r="E1444" s="1" t="n">
        <v>52</v>
      </c>
      <c r="F1444" s="1" t="s">
        <v>47</v>
      </c>
      <c r="G1444" s="1" t="s">
        <v>48</v>
      </c>
      <c r="H1444" s="1" t="n">
        <v>10</v>
      </c>
      <c r="I1444" s="1" t="n">
        <v>896.2</v>
      </c>
      <c r="J1444" s="1" t="n">
        <v>300</v>
      </c>
    </row>
    <row r="1445" customFormat="false" ht="15" hidden="false" customHeight="true" outlineLevel="0" collapsed="false">
      <c r="A1445" s="1" t="s">
        <v>426</v>
      </c>
      <c r="B1445" s="1" t="s">
        <v>55</v>
      </c>
      <c r="C1445" s="1" t="s">
        <v>400</v>
      </c>
      <c r="D1445" s="1" t="n">
        <v>12</v>
      </c>
      <c r="E1445" s="1" t="n">
        <v>52</v>
      </c>
      <c r="F1445" s="1" t="s">
        <v>49</v>
      </c>
      <c r="G1445" s="1" t="s">
        <v>49</v>
      </c>
      <c r="H1445" s="1" t="n">
        <v>32</v>
      </c>
      <c r="I1445" s="1" t="n">
        <v>2969.28</v>
      </c>
      <c r="J1445" s="1" t="n">
        <v>300</v>
      </c>
    </row>
    <row r="1446" customFormat="false" ht="15" hidden="false" customHeight="true" outlineLevel="0" collapsed="false">
      <c r="A1446" s="1" t="s">
        <v>427</v>
      </c>
      <c r="B1446" s="1" t="s">
        <v>57</v>
      </c>
      <c r="C1446" s="1" t="s">
        <v>400</v>
      </c>
      <c r="D1446" s="1" t="n">
        <v>12</v>
      </c>
      <c r="E1446" s="1" t="n">
        <v>52</v>
      </c>
      <c r="F1446" s="1" t="s">
        <v>43</v>
      </c>
      <c r="G1446" s="1" t="s">
        <v>44</v>
      </c>
      <c r="H1446" s="1" t="n">
        <v>15</v>
      </c>
      <c r="I1446" s="1" t="n">
        <v>1742.55</v>
      </c>
      <c r="J1446" s="1" t="n">
        <v>300</v>
      </c>
    </row>
    <row r="1447" customFormat="false" ht="15" hidden="false" customHeight="true" outlineLevel="0" collapsed="false">
      <c r="A1447" s="1" t="s">
        <v>427</v>
      </c>
      <c r="B1447" s="1" t="s">
        <v>57</v>
      </c>
      <c r="C1447" s="1" t="s">
        <v>400</v>
      </c>
      <c r="D1447" s="1" t="n">
        <v>12</v>
      </c>
      <c r="E1447" s="1" t="n">
        <v>52</v>
      </c>
      <c r="F1447" s="1" t="s">
        <v>45</v>
      </c>
      <c r="G1447" s="1" t="s">
        <v>46</v>
      </c>
      <c r="H1447" s="1" t="n">
        <v>49</v>
      </c>
      <c r="I1447" s="1" t="n">
        <v>4277.21</v>
      </c>
      <c r="J1447" s="1" t="n">
        <v>300</v>
      </c>
    </row>
    <row r="1448" customFormat="false" ht="15" hidden="false" customHeight="true" outlineLevel="0" collapsed="false">
      <c r="A1448" s="1" t="s">
        <v>427</v>
      </c>
      <c r="B1448" s="1" t="s">
        <v>57</v>
      </c>
      <c r="C1448" s="1" t="s">
        <v>400</v>
      </c>
      <c r="D1448" s="1" t="n">
        <v>12</v>
      </c>
      <c r="E1448" s="1" t="n">
        <v>52</v>
      </c>
      <c r="F1448" s="1" t="s">
        <v>47</v>
      </c>
      <c r="G1448" s="1" t="s">
        <v>48</v>
      </c>
      <c r="H1448" s="1" t="n">
        <v>14</v>
      </c>
      <c r="I1448" s="1" t="n">
        <v>1310.12</v>
      </c>
      <c r="J1448" s="1" t="n">
        <v>300</v>
      </c>
    </row>
    <row r="1449" customFormat="false" ht="15" hidden="false" customHeight="true" outlineLevel="0" collapsed="false">
      <c r="A1449" s="1" t="s">
        <v>427</v>
      </c>
      <c r="B1449" s="1" t="s">
        <v>57</v>
      </c>
      <c r="C1449" s="1" t="s">
        <v>400</v>
      </c>
      <c r="D1449" s="1" t="n">
        <v>12</v>
      </c>
      <c r="E1449" s="1" t="n">
        <v>52</v>
      </c>
      <c r="F1449" s="1" t="s">
        <v>49</v>
      </c>
      <c r="G1449" s="1" t="s">
        <v>49</v>
      </c>
      <c r="H1449" s="1" t="n">
        <v>35</v>
      </c>
      <c r="I1449" s="1" t="n">
        <v>3704.05</v>
      </c>
      <c r="J1449" s="1" t="n">
        <v>300</v>
      </c>
    </row>
    <row r="1450" customFormat="false" ht="15" hidden="false" customHeight="true" outlineLevel="0" collapsed="false">
      <c r="A1450" s="1" t="s">
        <v>428</v>
      </c>
      <c r="B1450" s="1" t="s">
        <v>59</v>
      </c>
      <c r="C1450" s="1" t="s">
        <v>400</v>
      </c>
      <c r="D1450" s="1" t="n">
        <v>12</v>
      </c>
      <c r="E1450" s="1" t="n">
        <v>53</v>
      </c>
      <c r="F1450" s="1" t="s">
        <v>43</v>
      </c>
      <c r="G1450" s="1" t="s">
        <v>44</v>
      </c>
      <c r="H1450" s="1" t="n">
        <v>68</v>
      </c>
      <c r="I1450" s="1" t="n">
        <v>8521.08</v>
      </c>
      <c r="J1450" s="1" t="n">
        <v>300</v>
      </c>
    </row>
    <row r="1451" customFormat="false" ht="15" hidden="false" customHeight="true" outlineLevel="0" collapsed="false">
      <c r="A1451" s="1" t="s">
        <v>428</v>
      </c>
      <c r="B1451" s="1" t="s">
        <v>59</v>
      </c>
      <c r="C1451" s="1" t="s">
        <v>400</v>
      </c>
      <c r="D1451" s="1" t="n">
        <v>12</v>
      </c>
      <c r="E1451" s="1" t="n">
        <v>53</v>
      </c>
      <c r="F1451" s="1" t="s">
        <v>45</v>
      </c>
      <c r="G1451" s="1" t="s">
        <v>46</v>
      </c>
      <c r="H1451" s="1" t="n">
        <v>17</v>
      </c>
      <c r="I1451" s="1" t="n">
        <v>1730.77</v>
      </c>
      <c r="J1451" s="1" t="n">
        <v>300</v>
      </c>
    </row>
    <row r="1452" customFormat="false" ht="15" hidden="false" customHeight="true" outlineLevel="0" collapsed="false">
      <c r="A1452" s="1" t="s">
        <v>428</v>
      </c>
      <c r="B1452" s="1" t="s">
        <v>59</v>
      </c>
      <c r="C1452" s="1" t="s">
        <v>400</v>
      </c>
      <c r="D1452" s="1" t="n">
        <v>12</v>
      </c>
      <c r="E1452" s="1" t="n">
        <v>53</v>
      </c>
      <c r="F1452" s="1" t="s">
        <v>47</v>
      </c>
      <c r="G1452" s="1" t="s">
        <v>48</v>
      </c>
      <c r="H1452" s="1" t="n">
        <v>25</v>
      </c>
      <c r="I1452" s="1" t="n">
        <v>2251</v>
      </c>
      <c r="J1452" s="1" t="n">
        <v>300</v>
      </c>
    </row>
    <row r="1453" customFormat="false" ht="15" hidden="false" customHeight="true" outlineLevel="0" collapsed="false">
      <c r="A1453" s="1" t="s">
        <v>428</v>
      </c>
      <c r="B1453" s="1" t="s">
        <v>59</v>
      </c>
      <c r="C1453" s="1" t="s">
        <v>400</v>
      </c>
      <c r="D1453" s="1" t="n">
        <v>12</v>
      </c>
      <c r="E1453" s="1" t="n">
        <v>53</v>
      </c>
      <c r="F1453" s="1" t="s">
        <v>49</v>
      </c>
      <c r="G1453" s="1" t="s">
        <v>49</v>
      </c>
      <c r="H1453" s="1" t="n">
        <v>25</v>
      </c>
      <c r="I1453" s="1" t="n">
        <v>2183.5</v>
      </c>
      <c r="J1453" s="1" t="n">
        <v>300</v>
      </c>
    </row>
    <row r="1454" customFormat="false" ht="15" hidden="false" customHeight="true" outlineLevel="0" collapsed="false">
      <c r="A1454" s="1" t="s">
        <v>429</v>
      </c>
      <c r="B1454" s="1" t="s">
        <v>61</v>
      </c>
      <c r="C1454" s="1" t="s">
        <v>400</v>
      </c>
      <c r="D1454" s="1" t="n">
        <v>12</v>
      </c>
      <c r="E1454" s="1" t="n">
        <v>53</v>
      </c>
      <c r="F1454" s="1" t="s">
        <v>43</v>
      </c>
      <c r="G1454" s="1" t="s">
        <v>44</v>
      </c>
      <c r="H1454" s="1" t="n">
        <v>72</v>
      </c>
      <c r="I1454" s="1" t="n">
        <v>8544.24</v>
      </c>
      <c r="J1454" s="1" t="n">
        <v>300</v>
      </c>
    </row>
    <row r="1455" customFormat="false" ht="15" hidden="false" customHeight="true" outlineLevel="0" collapsed="false">
      <c r="A1455" s="1" t="s">
        <v>429</v>
      </c>
      <c r="B1455" s="1" t="s">
        <v>61</v>
      </c>
      <c r="C1455" s="1" t="s">
        <v>400</v>
      </c>
      <c r="D1455" s="1" t="n">
        <v>12</v>
      </c>
      <c r="E1455" s="1" t="n">
        <v>53</v>
      </c>
      <c r="F1455" s="1" t="s">
        <v>45</v>
      </c>
      <c r="G1455" s="1" t="s">
        <v>46</v>
      </c>
      <c r="H1455" s="1" t="n">
        <v>17</v>
      </c>
      <c r="I1455" s="1" t="n">
        <v>1586.1</v>
      </c>
      <c r="J1455" s="1" t="n">
        <v>300</v>
      </c>
    </row>
    <row r="1456" customFormat="false" ht="15" hidden="false" customHeight="true" outlineLevel="0" collapsed="false">
      <c r="A1456" s="1" t="s">
        <v>429</v>
      </c>
      <c r="B1456" s="1" t="s">
        <v>61</v>
      </c>
      <c r="C1456" s="1" t="s">
        <v>400</v>
      </c>
      <c r="D1456" s="1" t="n">
        <v>12</v>
      </c>
      <c r="E1456" s="1" t="n">
        <v>53</v>
      </c>
      <c r="F1456" s="1" t="s">
        <v>47</v>
      </c>
      <c r="G1456" s="1" t="s">
        <v>48</v>
      </c>
      <c r="H1456" s="1" t="n">
        <v>24</v>
      </c>
      <c r="I1456" s="1" t="n">
        <v>2384.64</v>
      </c>
      <c r="J1456" s="1" t="n">
        <v>300</v>
      </c>
    </row>
    <row r="1457" customFormat="false" ht="15" hidden="false" customHeight="true" outlineLevel="0" collapsed="false">
      <c r="A1457" s="1" t="s">
        <v>429</v>
      </c>
      <c r="B1457" s="1" t="s">
        <v>61</v>
      </c>
      <c r="C1457" s="1" t="s">
        <v>400</v>
      </c>
      <c r="D1457" s="1" t="n">
        <v>12</v>
      </c>
      <c r="E1457" s="1" t="n">
        <v>53</v>
      </c>
      <c r="F1457" s="1" t="s">
        <v>49</v>
      </c>
      <c r="G1457" s="1" t="s">
        <v>49</v>
      </c>
      <c r="H1457" s="1" t="n">
        <v>25</v>
      </c>
      <c r="I1457" s="1" t="n">
        <v>2187.25</v>
      </c>
      <c r="J1457" s="1" t="n">
        <v>300</v>
      </c>
    </row>
    <row r="1458" customFormat="false" ht="15" hidden="false" customHeight="true" outlineLevel="0" collapsed="false">
      <c r="A1458" s="1" t="s">
        <v>430</v>
      </c>
      <c r="B1458" s="1" t="s">
        <v>41</v>
      </c>
      <c r="C1458" s="1" t="s">
        <v>400</v>
      </c>
      <c r="D1458" s="1" t="n">
        <v>12</v>
      </c>
      <c r="E1458" s="1" t="n">
        <v>53</v>
      </c>
      <c r="F1458" s="1" t="s">
        <v>43</v>
      </c>
      <c r="G1458" s="1" t="s">
        <v>44</v>
      </c>
      <c r="H1458" s="1" t="n">
        <v>78</v>
      </c>
      <c r="I1458" s="1" t="n">
        <v>9260.16</v>
      </c>
      <c r="J1458" s="1" t="n">
        <v>300</v>
      </c>
    </row>
    <row r="1459" customFormat="false" ht="15" hidden="false" customHeight="true" outlineLevel="0" collapsed="false">
      <c r="A1459" s="1" t="s">
        <v>430</v>
      </c>
      <c r="B1459" s="1" t="s">
        <v>41</v>
      </c>
      <c r="C1459" s="1" t="s">
        <v>400</v>
      </c>
      <c r="D1459" s="1" t="n">
        <v>12</v>
      </c>
      <c r="E1459" s="1" t="n">
        <v>53</v>
      </c>
      <c r="F1459" s="1" t="s">
        <v>45</v>
      </c>
      <c r="G1459" s="1" t="s">
        <v>46</v>
      </c>
      <c r="H1459" s="1" t="n">
        <v>19</v>
      </c>
      <c r="I1459" s="1" t="n">
        <v>2112.61</v>
      </c>
      <c r="J1459" s="1" t="n">
        <v>300</v>
      </c>
    </row>
    <row r="1460" customFormat="false" ht="15" hidden="false" customHeight="true" outlineLevel="0" collapsed="false">
      <c r="A1460" s="1" t="s">
        <v>430</v>
      </c>
      <c r="B1460" s="1" t="s">
        <v>41</v>
      </c>
      <c r="C1460" s="1" t="s">
        <v>400</v>
      </c>
      <c r="D1460" s="1" t="n">
        <v>12</v>
      </c>
      <c r="E1460" s="1" t="n">
        <v>53</v>
      </c>
      <c r="F1460" s="1" t="s">
        <v>47</v>
      </c>
      <c r="G1460" s="1" t="s">
        <v>48</v>
      </c>
      <c r="H1460" s="1" t="n">
        <v>24</v>
      </c>
      <c r="I1460" s="1" t="n">
        <v>2306.16</v>
      </c>
      <c r="J1460" s="1" t="n">
        <v>300</v>
      </c>
    </row>
    <row r="1461" customFormat="false" ht="15" hidden="false" customHeight="true" outlineLevel="0" collapsed="false">
      <c r="A1461" s="1" t="s">
        <v>430</v>
      </c>
      <c r="B1461" s="1" t="s">
        <v>41</v>
      </c>
      <c r="C1461" s="1" t="s">
        <v>400</v>
      </c>
      <c r="D1461" s="1" t="n">
        <v>12</v>
      </c>
      <c r="E1461" s="1" t="n">
        <v>53</v>
      </c>
      <c r="F1461" s="1" t="s">
        <v>49</v>
      </c>
      <c r="G1461" s="1" t="s">
        <v>49</v>
      </c>
      <c r="H1461" s="1" t="n">
        <v>27</v>
      </c>
      <c r="I1461" s="1" t="n">
        <v>2492.37</v>
      </c>
      <c r="J1461" s="1" t="n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11" min="9" style="1" width="11"/>
  </cols>
  <sheetData>
    <row r="1" customFormat="false" ht="26.25" hidden="false" customHeight="true" outlineLevel="0" collapsed="false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37</v>
      </c>
      <c r="G1" s="6" t="s">
        <v>38</v>
      </c>
      <c r="H1" s="6" t="s">
        <v>39</v>
      </c>
      <c r="I1" s="6" t="s">
        <v>431</v>
      </c>
      <c r="J1" s="6" t="s">
        <v>432</v>
      </c>
      <c r="K1" s="6" t="s">
        <v>433</v>
      </c>
    </row>
    <row r="2" customFormat="false" ht="15" hidden="false" customHeight="true" outlineLevel="0" collapsed="false">
      <c r="A2" s="1" t="s">
        <v>40</v>
      </c>
      <c r="B2" s="1" t="s">
        <v>41</v>
      </c>
      <c r="C2" s="1" t="s">
        <v>42</v>
      </c>
      <c r="D2" s="1" t="n">
        <v>1</v>
      </c>
      <c r="E2" s="1" t="n">
        <v>1</v>
      </c>
      <c r="F2" s="1" t="n">
        <f aca="false">SUMIFS(Raw_Data!$H$2:$H$1461,Raw_Data!$A$2:$A$1461,A2)</f>
        <v>131</v>
      </c>
      <c r="G2" s="1" t="n">
        <f aca="false">SUMIFS(Raw_Data!$I$2:$I$1461,Raw_Data!$A$2:$A$1461,A2)</f>
        <v>12895.99</v>
      </c>
      <c r="H2" s="1" t="n">
        <v>300</v>
      </c>
      <c r="I2" s="7" t="n">
        <f aca="false">F2/H2</f>
        <v>0.436666666666667</v>
      </c>
      <c r="J2" s="8" t="n">
        <f aca="false">IFERROR(G2/F2,0)</f>
        <v>98.4426717557252</v>
      </c>
      <c r="K2" s="8" t="n">
        <f aca="false">G2/H2</f>
        <v>42.9866333333333</v>
      </c>
    </row>
    <row r="3" customFormat="false" ht="15" hidden="false" customHeight="true" outlineLevel="0" collapsed="false">
      <c r="A3" s="1" t="s">
        <v>50</v>
      </c>
      <c r="B3" s="1" t="s">
        <v>51</v>
      </c>
      <c r="C3" s="1" t="s">
        <v>42</v>
      </c>
      <c r="D3" s="1" t="n">
        <v>1</v>
      </c>
      <c r="E3" s="1" t="n">
        <v>1</v>
      </c>
      <c r="F3" s="1" t="n">
        <f aca="false">SUMIFS(Raw_Data!$H$2:$H$1461,Raw_Data!$A$2:$A$1461,A3)</f>
        <v>119</v>
      </c>
      <c r="G3" s="1" t="n">
        <f aca="false">SUMIFS(Raw_Data!$I$2:$I$1461,Raw_Data!$A$2:$A$1461,A3)</f>
        <v>11589.34</v>
      </c>
      <c r="H3" s="1" t="n">
        <v>300</v>
      </c>
      <c r="I3" s="7" t="n">
        <f aca="false">F3/H3</f>
        <v>0.396666666666667</v>
      </c>
      <c r="J3" s="8" t="n">
        <f aca="false">IFERROR(G3/F3,0)</f>
        <v>97.3894117647059</v>
      </c>
      <c r="K3" s="8" t="n">
        <f aca="false">G3/H3</f>
        <v>38.6311333333333</v>
      </c>
    </row>
    <row r="4" customFormat="false" ht="15" hidden="false" customHeight="true" outlineLevel="0" collapsed="false">
      <c r="A4" s="1" t="s">
        <v>52</v>
      </c>
      <c r="B4" s="1" t="s">
        <v>53</v>
      </c>
      <c r="C4" s="1" t="s">
        <v>42</v>
      </c>
      <c r="D4" s="1" t="n">
        <v>1</v>
      </c>
      <c r="E4" s="1" t="n">
        <v>1</v>
      </c>
      <c r="F4" s="1" t="n">
        <f aca="false">SUMIFS(Raw_Data!$H$2:$H$1461,Raw_Data!$A$2:$A$1461,A4)</f>
        <v>120</v>
      </c>
      <c r="G4" s="1" t="n">
        <f aca="false">SUMIFS(Raw_Data!$I$2:$I$1461,Raw_Data!$A$2:$A$1461,A4)</f>
        <v>11471.66</v>
      </c>
      <c r="H4" s="1" t="n">
        <v>300</v>
      </c>
      <c r="I4" s="7" t="n">
        <f aca="false">F4/H4</f>
        <v>0.4</v>
      </c>
      <c r="J4" s="8" t="n">
        <f aca="false">IFERROR(G4/F4,0)</f>
        <v>95.5971666666667</v>
      </c>
      <c r="K4" s="8" t="n">
        <f aca="false">G4/H4</f>
        <v>38.2388666666667</v>
      </c>
    </row>
    <row r="5" customFormat="false" ht="15" hidden="false" customHeight="true" outlineLevel="0" collapsed="false">
      <c r="A5" s="1" t="s">
        <v>54</v>
      </c>
      <c r="B5" s="1" t="s">
        <v>55</v>
      </c>
      <c r="C5" s="1" t="s">
        <v>42</v>
      </c>
      <c r="D5" s="1" t="n">
        <v>1</v>
      </c>
      <c r="E5" s="1" t="n">
        <v>1</v>
      </c>
      <c r="F5" s="1" t="n">
        <f aca="false">SUMIFS(Raw_Data!$H$2:$H$1461,Raw_Data!$A$2:$A$1461,A5)</f>
        <v>83</v>
      </c>
      <c r="G5" s="1" t="n">
        <f aca="false">SUMIFS(Raw_Data!$I$2:$I$1461,Raw_Data!$A$2:$A$1461,A5)</f>
        <v>7848.84</v>
      </c>
      <c r="H5" s="1" t="n">
        <v>300</v>
      </c>
      <c r="I5" s="7" t="n">
        <f aca="false">F5/H5</f>
        <v>0.276666666666667</v>
      </c>
      <c r="J5" s="8" t="n">
        <f aca="false">IFERROR(G5/F5,0)</f>
        <v>94.5643373493976</v>
      </c>
      <c r="K5" s="8" t="n">
        <f aca="false">G5/H5</f>
        <v>26.1628</v>
      </c>
    </row>
    <row r="6" customFormat="false" ht="15" hidden="false" customHeight="true" outlineLevel="0" collapsed="false">
      <c r="A6" s="1" t="s">
        <v>56</v>
      </c>
      <c r="B6" s="1" t="s">
        <v>57</v>
      </c>
      <c r="C6" s="1" t="s">
        <v>42</v>
      </c>
      <c r="D6" s="1" t="n">
        <v>1</v>
      </c>
      <c r="E6" s="1" t="n">
        <v>1</v>
      </c>
      <c r="F6" s="1" t="n">
        <f aca="false">SUMIFS(Raw_Data!$H$2:$H$1461,Raw_Data!$A$2:$A$1461,A6)</f>
        <v>91</v>
      </c>
      <c r="G6" s="1" t="n">
        <f aca="false">SUMIFS(Raw_Data!$I$2:$I$1461,Raw_Data!$A$2:$A$1461,A6)</f>
        <v>7860.2</v>
      </c>
      <c r="H6" s="1" t="n">
        <v>300</v>
      </c>
      <c r="I6" s="7" t="n">
        <f aca="false">F6/H6</f>
        <v>0.303333333333333</v>
      </c>
      <c r="J6" s="8" t="n">
        <f aca="false">IFERROR(G6/F6,0)</f>
        <v>86.3758241758242</v>
      </c>
      <c r="K6" s="8" t="n">
        <f aca="false">G6/H6</f>
        <v>26.2006666666667</v>
      </c>
    </row>
    <row r="7" customFormat="false" ht="15" hidden="false" customHeight="true" outlineLevel="0" collapsed="false">
      <c r="A7" s="1" t="s">
        <v>58</v>
      </c>
      <c r="B7" s="1" t="s">
        <v>59</v>
      </c>
      <c r="C7" s="1" t="s">
        <v>42</v>
      </c>
      <c r="D7" s="1" t="n">
        <v>1</v>
      </c>
      <c r="E7" s="1" t="n">
        <v>2</v>
      </c>
      <c r="F7" s="1" t="n">
        <f aca="false">SUMIFS(Raw_Data!$H$2:$H$1461,Raw_Data!$A$2:$A$1461,A7)</f>
        <v>125</v>
      </c>
      <c r="G7" s="1" t="n">
        <f aca="false">SUMIFS(Raw_Data!$I$2:$I$1461,Raw_Data!$A$2:$A$1461,A7)</f>
        <v>12397.62</v>
      </c>
      <c r="H7" s="1" t="n">
        <v>300</v>
      </c>
      <c r="I7" s="7" t="n">
        <f aca="false">F7/H7</f>
        <v>0.416666666666667</v>
      </c>
      <c r="J7" s="8" t="n">
        <f aca="false">IFERROR(G7/F7,0)</f>
        <v>99.18096</v>
      </c>
      <c r="K7" s="8" t="n">
        <f aca="false">G7/H7</f>
        <v>41.3254</v>
      </c>
    </row>
    <row r="8" customFormat="false" ht="15" hidden="false" customHeight="true" outlineLevel="0" collapsed="false">
      <c r="A8" s="1" t="s">
        <v>60</v>
      </c>
      <c r="B8" s="1" t="s">
        <v>61</v>
      </c>
      <c r="C8" s="1" t="s">
        <v>42</v>
      </c>
      <c r="D8" s="1" t="n">
        <v>1</v>
      </c>
      <c r="E8" s="1" t="n">
        <v>2</v>
      </c>
      <c r="F8" s="1" t="n">
        <f aca="false">SUMIFS(Raw_Data!$H$2:$H$1461,Raw_Data!$A$2:$A$1461,A8)</f>
        <v>129</v>
      </c>
      <c r="G8" s="1" t="n">
        <f aca="false">SUMIFS(Raw_Data!$I$2:$I$1461,Raw_Data!$A$2:$A$1461,A8)</f>
        <v>11926.23</v>
      </c>
      <c r="H8" s="1" t="n">
        <v>300</v>
      </c>
      <c r="I8" s="7" t="n">
        <f aca="false">F8/H8</f>
        <v>0.43</v>
      </c>
      <c r="J8" s="8" t="n">
        <f aca="false">IFERROR(G8/F8,0)</f>
        <v>92.4513953488372</v>
      </c>
      <c r="K8" s="8" t="n">
        <f aca="false">G8/H8</f>
        <v>39.7541</v>
      </c>
    </row>
    <row r="9" customFormat="false" ht="15" hidden="false" customHeight="true" outlineLevel="0" collapsed="false">
      <c r="A9" s="1" t="s">
        <v>62</v>
      </c>
      <c r="B9" s="1" t="s">
        <v>41</v>
      </c>
      <c r="C9" s="1" t="s">
        <v>42</v>
      </c>
      <c r="D9" s="1" t="n">
        <v>1</v>
      </c>
      <c r="E9" s="1" t="n">
        <v>2</v>
      </c>
      <c r="F9" s="1" t="n">
        <f aca="false">SUMIFS(Raw_Data!$H$2:$H$1461,Raw_Data!$A$2:$A$1461,A9)</f>
        <v>116</v>
      </c>
      <c r="G9" s="1" t="n">
        <f aca="false">SUMIFS(Raw_Data!$I$2:$I$1461,Raw_Data!$A$2:$A$1461,A9)</f>
        <v>11164.34</v>
      </c>
      <c r="H9" s="1" t="n">
        <v>300</v>
      </c>
      <c r="I9" s="7" t="n">
        <f aca="false">F9/H9</f>
        <v>0.386666666666667</v>
      </c>
      <c r="J9" s="8" t="n">
        <f aca="false">IFERROR(G9/F9,0)</f>
        <v>96.2443103448276</v>
      </c>
      <c r="K9" s="8" t="n">
        <f aca="false">G9/H9</f>
        <v>37.2144666666667</v>
      </c>
    </row>
    <row r="10" customFormat="false" ht="15" hidden="false" customHeight="true" outlineLevel="0" collapsed="false">
      <c r="A10" s="1" t="s">
        <v>63</v>
      </c>
      <c r="B10" s="1" t="s">
        <v>51</v>
      </c>
      <c r="C10" s="1" t="s">
        <v>42</v>
      </c>
      <c r="D10" s="1" t="n">
        <v>1</v>
      </c>
      <c r="E10" s="1" t="n">
        <v>2</v>
      </c>
      <c r="F10" s="1" t="n">
        <f aca="false">SUMIFS(Raw_Data!$H$2:$H$1461,Raw_Data!$A$2:$A$1461,A10)</f>
        <v>130</v>
      </c>
      <c r="G10" s="1" t="n">
        <f aca="false">SUMIFS(Raw_Data!$I$2:$I$1461,Raw_Data!$A$2:$A$1461,A10)</f>
        <v>13533.73</v>
      </c>
      <c r="H10" s="1" t="n">
        <v>300</v>
      </c>
      <c r="I10" s="7" t="n">
        <f aca="false">F10/H10</f>
        <v>0.433333333333333</v>
      </c>
      <c r="J10" s="8" t="n">
        <f aca="false">IFERROR(G10/F10,0)</f>
        <v>104.105615384615</v>
      </c>
      <c r="K10" s="8" t="n">
        <f aca="false">G10/H10</f>
        <v>45.1124333333333</v>
      </c>
    </row>
    <row r="11" customFormat="false" ht="15" hidden="false" customHeight="true" outlineLevel="0" collapsed="false">
      <c r="A11" s="1" t="s">
        <v>64</v>
      </c>
      <c r="B11" s="1" t="s">
        <v>53</v>
      </c>
      <c r="C11" s="1" t="s">
        <v>42</v>
      </c>
      <c r="D11" s="1" t="n">
        <v>1</v>
      </c>
      <c r="E11" s="1" t="n">
        <v>2</v>
      </c>
      <c r="F11" s="1" t="n">
        <f aca="false">SUMIFS(Raw_Data!$H$2:$H$1461,Raw_Data!$A$2:$A$1461,A11)</f>
        <v>121</v>
      </c>
      <c r="G11" s="1" t="n">
        <f aca="false">SUMIFS(Raw_Data!$I$2:$I$1461,Raw_Data!$A$2:$A$1461,A11)</f>
        <v>12312.33</v>
      </c>
      <c r="H11" s="1" t="n">
        <v>300</v>
      </c>
      <c r="I11" s="7" t="n">
        <f aca="false">F11/H11</f>
        <v>0.403333333333333</v>
      </c>
      <c r="J11" s="8" t="n">
        <f aca="false">IFERROR(G11/F11,0)</f>
        <v>101.75479338843</v>
      </c>
      <c r="K11" s="8" t="n">
        <f aca="false">G11/H11</f>
        <v>41.0411</v>
      </c>
    </row>
    <row r="12" customFormat="false" ht="15" hidden="false" customHeight="true" outlineLevel="0" collapsed="false">
      <c r="A12" s="1" t="s">
        <v>65</v>
      </c>
      <c r="B12" s="1" t="s">
        <v>55</v>
      </c>
      <c r="C12" s="1" t="s">
        <v>42</v>
      </c>
      <c r="D12" s="1" t="n">
        <v>1</v>
      </c>
      <c r="E12" s="1" t="n">
        <v>2</v>
      </c>
      <c r="F12" s="1" t="n">
        <f aca="false">SUMIFS(Raw_Data!$H$2:$H$1461,Raw_Data!$A$2:$A$1461,A12)</f>
        <v>98</v>
      </c>
      <c r="G12" s="1" t="n">
        <f aca="false">SUMIFS(Raw_Data!$I$2:$I$1461,Raw_Data!$A$2:$A$1461,A12)</f>
        <v>8839.71</v>
      </c>
      <c r="H12" s="1" t="n">
        <v>300</v>
      </c>
      <c r="I12" s="7" t="n">
        <f aca="false">F12/H12</f>
        <v>0.326666666666667</v>
      </c>
      <c r="J12" s="8" t="n">
        <f aca="false">IFERROR(G12/F12,0)</f>
        <v>90.2011224489796</v>
      </c>
      <c r="K12" s="8" t="n">
        <f aca="false">G12/H12</f>
        <v>29.4657</v>
      </c>
    </row>
    <row r="13" customFormat="false" ht="15" hidden="false" customHeight="true" outlineLevel="0" collapsed="false">
      <c r="A13" s="1" t="s">
        <v>66</v>
      </c>
      <c r="B13" s="1" t="s">
        <v>57</v>
      </c>
      <c r="C13" s="1" t="s">
        <v>42</v>
      </c>
      <c r="D13" s="1" t="n">
        <v>1</v>
      </c>
      <c r="E13" s="1" t="n">
        <v>2</v>
      </c>
      <c r="F13" s="1" t="n">
        <f aca="false">SUMIFS(Raw_Data!$H$2:$H$1461,Raw_Data!$A$2:$A$1461,A13)</f>
        <v>88</v>
      </c>
      <c r="G13" s="1" t="n">
        <f aca="false">SUMIFS(Raw_Data!$I$2:$I$1461,Raw_Data!$A$2:$A$1461,A13)</f>
        <v>8077.06</v>
      </c>
      <c r="H13" s="1" t="n">
        <v>300</v>
      </c>
      <c r="I13" s="7" t="n">
        <f aca="false">F13/H13</f>
        <v>0.293333333333333</v>
      </c>
      <c r="J13" s="8" t="n">
        <f aca="false">IFERROR(G13/F13,0)</f>
        <v>91.7847727272727</v>
      </c>
      <c r="K13" s="8" t="n">
        <f aca="false">G13/H13</f>
        <v>26.9235333333333</v>
      </c>
    </row>
    <row r="14" customFormat="false" ht="15" hidden="false" customHeight="true" outlineLevel="0" collapsed="false">
      <c r="A14" s="1" t="s">
        <v>67</v>
      </c>
      <c r="B14" s="1" t="s">
        <v>59</v>
      </c>
      <c r="C14" s="1" t="s">
        <v>42</v>
      </c>
      <c r="D14" s="1" t="n">
        <v>1</v>
      </c>
      <c r="E14" s="1" t="n">
        <v>3</v>
      </c>
      <c r="F14" s="1" t="n">
        <f aca="false">SUMIFS(Raw_Data!$H$2:$H$1461,Raw_Data!$A$2:$A$1461,A14)</f>
        <v>123</v>
      </c>
      <c r="G14" s="1" t="n">
        <f aca="false">SUMIFS(Raw_Data!$I$2:$I$1461,Raw_Data!$A$2:$A$1461,A14)</f>
        <v>12041.13</v>
      </c>
      <c r="H14" s="1" t="n">
        <v>300</v>
      </c>
      <c r="I14" s="7" t="n">
        <f aca="false">F14/H14</f>
        <v>0.41</v>
      </c>
      <c r="J14" s="8" t="n">
        <f aca="false">IFERROR(G14/F14,0)</f>
        <v>97.8953658536586</v>
      </c>
      <c r="K14" s="8" t="n">
        <f aca="false">G14/H14</f>
        <v>40.1371</v>
      </c>
    </row>
    <row r="15" customFormat="false" ht="15" hidden="false" customHeight="true" outlineLevel="0" collapsed="false">
      <c r="A15" s="1" t="s">
        <v>68</v>
      </c>
      <c r="B15" s="1" t="s">
        <v>61</v>
      </c>
      <c r="C15" s="1" t="s">
        <v>42</v>
      </c>
      <c r="D15" s="1" t="n">
        <v>1</v>
      </c>
      <c r="E15" s="1" t="n">
        <v>3</v>
      </c>
      <c r="F15" s="1" t="n">
        <f aca="false">SUMIFS(Raw_Data!$H$2:$H$1461,Raw_Data!$A$2:$A$1461,A15)</f>
        <v>123</v>
      </c>
      <c r="G15" s="1" t="n">
        <f aca="false">SUMIFS(Raw_Data!$I$2:$I$1461,Raw_Data!$A$2:$A$1461,A15)</f>
        <v>12224.71</v>
      </c>
      <c r="H15" s="1" t="n">
        <v>300</v>
      </c>
      <c r="I15" s="7" t="n">
        <f aca="false">F15/H15</f>
        <v>0.41</v>
      </c>
      <c r="J15" s="8" t="n">
        <f aca="false">IFERROR(G15/F15,0)</f>
        <v>99.3878861788618</v>
      </c>
      <c r="K15" s="8" t="n">
        <f aca="false">G15/H15</f>
        <v>40.7490333333333</v>
      </c>
    </row>
    <row r="16" customFormat="false" ht="15" hidden="false" customHeight="true" outlineLevel="0" collapsed="false">
      <c r="A16" s="1" t="s">
        <v>69</v>
      </c>
      <c r="B16" s="1" t="s">
        <v>41</v>
      </c>
      <c r="C16" s="1" t="s">
        <v>42</v>
      </c>
      <c r="D16" s="1" t="n">
        <v>1</v>
      </c>
      <c r="E16" s="1" t="n">
        <v>3</v>
      </c>
      <c r="F16" s="1" t="n">
        <f aca="false">SUMIFS(Raw_Data!$H$2:$H$1461,Raw_Data!$A$2:$A$1461,A16)</f>
        <v>127</v>
      </c>
      <c r="G16" s="1" t="n">
        <f aca="false">SUMIFS(Raw_Data!$I$2:$I$1461,Raw_Data!$A$2:$A$1461,A16)</f>
        <v>13452.29</v>
      </c>
      <c r="H16" s="1" t="n">
        <v>300</v>
      </c>
      <c r="I16" s="7" t="n">
        <f aca="false">F16/H16</f>
        <v>0.423333333333333</v>
      </c>
      <c r="J16" s="8" t="n">
        <f aca="false">IFERROR(G16/F16,0)</f>
        <v>105.923543307087</v>
      </c>
      <c r="K16" s="8" t="n">
        <f aca="false">G16/H16</f>
        <v>44.8409666666667</v>
      </c>
    </row>
    <row r="17" customFormat="false" ht="15" hidden="false" customHeight="true" outlineLevel="0" collapsed="false">
      <c r="A17" s="1" t="s">
        <v>70</v>
      </c>
      <c r="B17" s="1" t="s">
        <v>51</v>
      </c>
      <c r="C17" s="1" t="s">
        <v>42</v>
      </c>
      <c r="D17" s="1" t="n">
        <v>1</v>
      </c>
      <c r="E17" s="1" t="n">
        <v>3</v>
      </c>
      <c r="F17" s="1" t="n">
        <f aca="false">SUMIFS(Raw_Data!$H$2:$H$1461,Raw_Data!$A$2:$A$1461,A17)</f>
        <v>130</v>
      </c>
      <c r="G17" s="1" t="n">
        <f aca="false">SUMIFS(Raw_Data!$I$2:$I$1461,Raw_Data!$A$2:$A$1461,A17)</f>
        <v>12385.55</v>
      </c>
      <c r="H17" s="1" t="n">
        <v>300</v>
      </c>
      <c r="I17" s="7" t="n">
        <f aca="false">F17/H17</f>
        <v>0.433333333333333</v>
      </c>
      <c r="J17" s="8" t="n">
        <f aca="false">IFERROR(G17/F17,0)</f>
        <v>95.2734615384615</v>
      </c>
      <c r="K17" s="8" t="n">
        <f aca="false">G17/H17</f>
        <v>41.2851666666667</v>
      </c>
    </row>
    <row r="18" customFormat="false" ht="15" hidden="false" customHeight="true" outlineLevel="0" collapsed="false">
      <c r="A18" s="1" t="s">
        <v>71</v>
      </c>
      <c r="B18" s="1" t="s">
        <v>53</v>
      </c>
      <c r="C18" s="1" t="s">
        <v>42</v>
      </c>
      <c r="D18" s="1" t="n">
        <v>1</v>
      </c>
      <c r="E18" s="1" t="n">
        <v>3</v>
      </c>
      <c r="F18" s="1" t="n">
        <f aca="false">SUMIFS(Raw_Data!$H$2:$H$1461,Raw_Data!$A$2:$A$1461,A18)</f>
        <v>119</v>
      </c>
      <c r="G18" s="1" t="n">
        <f aca="false">SUMIFS(Raw_Data!$I$2:$I$1461,Raw_Data!$A$2:$A$1461,A18)</f>
        <v>11664.14</v>
      </c>
      <c r="H18" s="1" t="n">
        <v>300</v>
      </c>
      <c r="I18" s="7" t="n">
        <f aca="false">F18/H18</f>
        <v>0.396666666666667</v>
      </c>
      <c r="J18" s="8" t="n">
        <f aca="false">IFERROR(G18/F18,0)</f>
        <v>98.0179831932773</v>
      </c>
      <c r="K18" s="8" t="n">
        <f aca="false">G18/H18</f>
        <v>38.8804666666667</v>
      </c>
    </row>
    <row r="19" customFormat="false" ht="15" hidden="false" customHeight="true" outlineLevel="0" collapsed="false">
      <c r="A19" s="1" t="s">
        <v>72</v>
      </c>
      <c r="B19" s="1" t="s">
        <v>55</v>
      </c>
      <c r="C19" s="1" t="s">
        <v>42</v>
      </c>
      <c r="D19" s="1" t="n">
        <v>1</v>
      </c>
      <c r="E19" s="1" t="n">
        <v>3</v>
      </c>
      <c r="F19" s="1" t="n">
        <f aca="false">SUMIFS(Raw_Data!$H$2:$H$1461,Raw_Data!$A$2:$A$1461,A19)</f>
        <v>88</v>
      </c>
      <c r="G19" s="1" t="n">
        <f aca="false">SUMIFS(Raw_Data!$I$2:$I$1461,Raw_Data!$A$2:$A$1461,A19)</f>
        <v>7831.41</v>
      </c>
      <c r="H19" s="1" t="n">
        <v>300</v>
      </c>
      <c r="I19" s="7" t="n">
        <f aca="false">F19/H19</f>
        <v>0.293333333333333</v>
      </c>
      <c r="J19" s="8" t="n">
        <f aca="false">IFERROR(G19/F19,0)</f>
        <v>88.9932954545455</v>
      </c>
      <c r="K19" s="8" t="n">
        <f aca="false">G19/H19</f>
        <v>26.1047</v>
      </c>
    </row>
    <row r="20" customFormat="false" ht="15" hidden="false" customHeight="true" outlineLevel="0" collapsed="false">
      <c r="A20" s="1" t="s">
        <v>73</v>
      </c>
      <c r="B20" s="1" t="s">
        <v>57</v>
      </c>
      <c r="C20" s="1" t="s">
        <v>42</v>
      </c>
      <c r="D20" s="1" t="n">
        <v>1</v>
      </c>
      <c r="E20" s="1" t="n">
        <v>3</v>
      </c>
      <c r="F20" s="1" t="n">
        <f aca="false">SUMIFS(Raw_Data!$H$2:$H$1461,Raw_Data!$A$2:$A$1461,A20)</f>
        <v>87</v>
      </c>
      <c r="G20" s="1" t="n">
        <f aca="false">SUMIFS(Raw_Data!$I$2:$I$1461,Raw_Data!$A$2:$A$1461,A20)</f>
        <v>7771.07</v>
      </c>
      <c r="H20" s="1" t="n">
        <v>300</v>
      </c>
      <c r="I20" s="7" t="n">
        <f aca="false">F20/H20</f>
        <v>0.29</v>
      </c>
      <c r="J20" s="8" t="n">
        <f aca="false">IFERROR(G20/F20,0)</f>
        <v>89.3226436781609</v>
      </c>
      <c r="K20" s="8" t="n">
        <f aca="false">G20/H20</f>
        <v>25.9035666666667</v>
      </c>
    </row>
    <row r="21" customFormat="false" ht="15" hidden="false" customHeight="true" outlineLevel="0" collapsed="false">
      <c r="A21" s="1" t="s">
        <v>74</v>
      </c>
      <c r="B21" s="1" t="s">
        <v>59</v>
      </c>
      <c r="C21" s="1" t="s">
        <v>42</v>
      </c>
      <c r="D21" s="1" t="n">
        <v>1</v>
      </c>
      <c r="E21" s="1" t="n">
        <v>4</v>
      </c>
      <c r="F21" s="1" t="n">
        <f aca="false">SUMIFS(Raw_Data!$H$2:$H$1461,Raw_Data!$A$2:$A$1461,A21)</f>
        <v>122</v>
      </c>
      <c r="G21" s="1" t="n">
        <f aca="false">SUMIFS(Raw_Data!$I$2:$I$1461,Raw_Data!$A$2:$A$1461,A21)</f>
        <v>12031.5</v>
      </c>
      <c r="H21" s="1" t="n">
        <v>300</v>
      </c>
      <c r="I21" s="7" t="n">
        <f aca="false">F21/H21</f>
        <v>0.406666666666667</v>
      </c>
      <c r="J21" s="8" t="n">
        <f aca="false">IFERROR(G21/F21,0)</f>
        <v>98.6188524590164</v>
      </c>
      <c r="K21" s="8" t="n">
        <f aca="false">G21/H21</f>
        <v>40.105</v>
      </c>
    </row>
    <row r="22" customFormat="false" ht="15" hidden="false" customHeight="true" outlineLevel="0" collapsed="false">
      <c r="A22" s="1" t="s">
        <v>75</v>
      </c>
      <c r="B22" s="1" t="s">
        <v>61</v>
      </c>
      <c r="C22" s="1" t="s">
        <v>42</v>
      </c>
      <c r="D22" s="1" t="n">
        <v>1</v>
      </c>
      <c r="E22" s="1" t="n">
        <v>4</v>
      </c>
      <c r="F22" s="1" t="n">
        <f aca="false">SUMIFS(Raw_Data!$H$2:$H$1461,Raw_Data!$A$2:$A$1461,A22)</f>
        <v>123</v>
      </c>
      <c r="G22" s="1" t="n">
        <f aca="false">SUMIFS(Raw_Data!$I$2:$I$1461,Raw_Data!$A$2:$A$1461,A22)</f>
        <v>12403.53</v>
      </c>
      <c r="H22" s="1" t="n">
        <v>300</v>
      </c>
      <c r="I22" s="7" t="n">
        <f aca="false">F22/H22</f>
        <v>0.41</v>
      </c>
      <c r="J22" s="8" t="n">
        <f aca="false">IFERROR(G22/F22,0)</f>
        <v>100.841707317073</v>
      </c>
      <c r="K22" s="8" t="n">
        <f aca="false">G22/H22</f>
        <v>41.3451</v>
      </c>
    </row>
    <row r="23" customFormat="false" ht="15" hidden="false" customHeight="true" outlineLevel="0" collapsed="false">
      <c r="A23" s="1" t="s">
        <v>76</v>
      </c>
      <c r="B23" s="1" t="s">
        <v>41</v>
      </c>
      <c r="C23" s="1" t="s">
        <v>42</v>
      </c>
      <c r="D23" s="1" t="n">
        <v>1</v>
      </c>
      <c r="E23" s="1" t="n">
        <v>4</v>
      </c>
      <c r="F23" s="1" t="n">
        <f aca="false">SUMIFS(Raw_Data!$H$2:$H$1461,Raw_Data!$A$2:$A$1461,A23)</f>
        <v>122</v>
      </c>
      <c r="G23" s="1" t="n">
        <f aca="false">SUMIFS(Raw_Data!$I$2:$I$1461,Raw_Data!$A$2:$A$1461,A23)</f>
        <v>11642.92</v>
      </c>
      <c r="H23" s="1" t="n">
        <v>300</v>
      </c>
      <c r="I23" s="7" t="n">
        <f aca="false">F23/H23</f>
        <v>0.406666666666667</v>
      </c>
      <c r="J23" s="8" t="n">
        <f aca="false">IFERROR(G23/F23,0)</f>
        <v>95.4337704918033</v>
      </c>
      <c r="K23" s="8" t="n">
        <f aca="false">G23/H23</f>
        <v>38.8097333333333</v>
      </c>
    </row>
    <row r="24" customFormat="false" ht="15" hidden="false" customHeight="true" outlineLevel="0" collapsed="false">
      <c r="A24" s="1" t="s">
        <v>77</v>
      </c>
      <c r="B24" s="1" t="s">
        <v>51</v>
      </c>
      <c r="C24" s="1" t="s">
        <v>42</v>
      </c>
      <c r="D24" s="1" t="n">
        <v>1</v>
      </c>
      <c r="E24" s="1" t="n">
        <v>4</v>
      </c>
      <c r="F24" s="1" t="n">
        <f aca="false">SUMIFS(Raw_Data!$H$2:$H$1461,Raw_Data!$A$2:$A$1461,A24)</f>
        <v>123</v>
      </c>
      <c r="G24" s="1" t="n">
        <f aca="false">SUMIFS(Raw_Data!$I$2:$I$1461,Raw_Data!$A$2:$A$1461,A24)</f>
        <v>12832.2</v>
      </c>
      <c r="H24" s="1" t="n">
        <v>300</v>
      </c>
      <c r="I24" s="7" t="n">
        <f aca="false">F24/H24</f>
        <v>0.41</v>
      </c>
      <c r="J24" s="8" t="n">
        <f aca="false">IFERROR(G24/F24,0)</f>
        <v>104.326829268293</v>
      </c>
      <c r="K24" s="8" t="n">
        <f aca="false">G24/H24</f>
        <v>42.774</v>
      </c>
    </row>
    <row r="25" customFormat="false" ht="15" hidden="false" customHeight="true" outlineLevel="0" collapsed="false">
      <c r="A25" s="1" t="s">
        <v>78</v>
      </c>
      <c r="B25" s="1" t="s">
        <v>53</v>
      </c>
      <c r="C25" s="1" t="s">
        <v>42</v>
      </c>
      <c r="D25" s="1" t="n">
        <v>1</v>
      </c>
      <c r="E25" s="1" t="n">
        <v>4</v>
      </c>
      <c r="F25" s="1" t="n">
        <f aca="false">SUMIFS(Raw_Data!$H$2:$H$1461,Raw_Data!$A$2:$A$1461,A25)</f>
        <v>122</v>
      </c>
      <c r="G25" s="1" t="n">
        <f aca="false">SUMIFS(Raw_Data!$I$2:$I$1461,Raw_Data!$A$2:$A$1461,A25)</f>
        <v>12161.73</v>
      </c>
      <c r="H25" s="1" t="n">
        <v>300</v>
      </c>
      <c r="I25" s="7" t="n">
        <f aca="false">F25/H25</f>
        <v>0.406666666666667</v>
      </c>
      <c r="J25" s="8" t="n">
        <f aca="false">IFERROR(G25/F25,0)</f>
        <v>99.6863114754098</v>
      </c>
      <c r="K25" s="8" t="n">
        <f aca="false">G25/H25</f>
        <v>40.5391</v>
      </c>
    </row>
    <row r="26" customFormat="false" ht="15" hidden="false" customHeight="true" outlineLevel="0" collapsed="false">
      <c r="A26" s="1" t="s">
        <v>79</v>
      </c>
      <c r="B26" s="1" t="s">
        <v>55</v>
      </c>
      <c r="C26" s="1" t="s">
        <v>42</v>
      </c>
      <c r="D26" s="1" t="n">
        <v>1</v>
      </c>
      <c r="E26" s="1" t="n">
        <v>4</v>
      </c>
      <c r="F26" s="1" t="n">
        <f aca="false">SUMIFS(Raw_Data!$H$2:$H$1461,Raw_Data!$A$2:$A$1461,A26)</f>
        <v>91</v>
      </c>
      <c r="G26" s="1" t="n">
        <f aca="false">SUMIFS(Raw_Data!$I$2:$I$1461,Raw_Data!$A$2:$A$1461,A26)</f>
        <v>8124.15</v>
      </c>
      <c r="H26" s="1" t="n">
        <v>300</v>
      </c>
      <c r="I26" s="7" t="n">
        <f aca="false">F26/H26</f>
        <v>0.303333333333333</v>
      </c>
      <c r="J26" s="8" t="n">
        <f aca="false">IFERROR(G26/F26,0)</f>
        <v>89.2763736263736</v>
      </c>
      <c r="K26" s="8" t="n">
        <f aca="false">G26/H26</f>
        <v>27.0805</v>
      </c>
    </row>
    <row r="27" customFormat="false" ht="15" hidden="false" customHeight="true" outlineLevel="0" collapsed="false">
      <c r="A27" s="1" t="s">
        <v>80</v>
      </c>
      <c r="B27" s="1" t="s">
        <v>57</v>
      </c>
      <c r="C27" s="1" t="s">
        <v>42</v>
      </c>
      <c r="D27" s="1" t="n">
        <v>1</v>
      </c>
      <c r="E27" s="1" t="n">
        <v>4</v>
      </c>
      <c r="F27" s="1" t="n">
        <f aca="false">SUMIFS(Raw_Data!$H$2:$H$1461,Raw_Data!$A$2:$A$1461,A27)</f>
        <v>94</v>
      </c>
      <c r="G27" s="1" t="n">
        <f aca="false">SUMIFS(Raw_Data!$I$2:$I$1461,Raw_Data!$A$2:$A$1461,A27)</f>
        <v>8895.03</v>
      </c>
      <c r="H27" s="1" t="n">
        <v>300</v>
      </c>
      <c r="I27" s="7" t="n">
        <f aca="false">F27/H27</f>
        <v>0.313333333333333</v>
      </c>
      <c r="J27" s="8" t="n">
        <f aca="false">IFERROR(G27/F27,0)</f>
        <v>94.6279787234043</v>
      </c>
      <c r="K27" s="8" t="n">
        <f aca="false">G27/H27</f>
        <v>29.6501</v>
      </c>
    </row>
    <row r="28" customFormat="false" ht="15" hidden="false" customHeight="true" outlineLevel="0" collapsed="false">
      <c r="A28" s="1" t="s">
        <v>81</v>
      </c>
      <c r="B28" s="1" t="s">
        <v>59</v>
      </c>
      <c r="C28" s="1" t="s">
        <v>42</v>
      </c>
      <c r="D28" s="1" t="n">
        <v>1</v>
      </c>
      <c r="E28" s="1" t="n">
        <v>5</v>
      </c>
      <c r="F28" s="1" t="n">
        <f aca="false">SUMIFS(Raw_Data!$H$2:$H$1461,Raw_Data!$A$2:$A$1461,A28)</f>
        <v>130</v>
      </c>
      <c r="G28" s="1" t="n">
        <f aca="false">SUMIFS(Raw_Data!$I$2:$I$1461,Raw_Data!$A$2:$A$1461,A28)</f>
        <v>14747.28</v>
      </c>
      <c r="H28" s="1" t="n">
        <v>300</v>
      </c>
      <c r="I28" s="7" t="n">
        <f aca="false">F28/H28</f>
        <v>0.433333333333333</v>
      </c>
      <c r="J28" s="8" t="n">
        <f aca="false">IFERROR(G28/F28,0)</f>
        <v>113.440615384615</v>
      </c>
      <c r="K28" s="8" t="n">
        <f aca="false">G28/H28</f>
        <v>49.1576</v>
      </c>
    </row>
    <row r="29" customFormat="false" ht="15" hidden="false" customHeight="true" outlineLevel="0" collapsed="false">
      <c r="A29" s="1" t="s">
        <v>82</v>
      </c>
      <c r="B29" s="1" t="s">
        <v>61</v>
      </c>
      <c r="C29" s="1" t="s">
        <v>42</v>
      </c>
      <c r="D29" s="1" t="n">
        <v>1</v>
      </c>
      <c r="E29" s="1" t="n">
        <v>5</v>
      </c>
      <c r="F29" s="1" t="n">
        <f aca="false">SUMIFS(Raw_Data!$H$2:$H$1461,Raw_Data!$A$2:$A$1461,A29)</f>
        <v>125</v>
      </c>
      <c r="G29" s="1" t="n">
        <f aca="false">SUMIFS(Raw_Data!$I$2:$I$1461,Raw_Data!$A$2:$A$1461,A29)</f>
        <v>11601.12</v>
      </c>
      <c r="H29" s="1" t="n">
        <v>300</v>
      </c>
      <c r="I29" s="7" t="n">
        <f aca="false">F29/H29</f>
        <v>0.416666666666667</v>
      </c>
      <c r="J29" s="8" t="n">
        <f aca="false">IFERROR(G29/F29,0)</f>
        <v>92.80896</v>
      </c>
      <c r="K29" s="8" t="n">
        <f aca="false">G29/H29</f>
        <v>38.6704</v>
      </c>
    </row>
    <row r="30" customFormat="false" ht="15" hidden="false" customHeight="true" outlineLevel="0" collapsed="false">
      <c r="A30" s="1" t="s">
        <v>83</v>
      </c>
      <c r="B30" s="1" t="s">
        <v>41</v>
      </c>
      <c r="C30" s="1" t="s">
        <v>42</v>
      </c>
      <c r="D30" s="1" t="n">
        <v>1</v>
      </c>
      <c r="E30" s="1" t="n">
        <v>5</v>
      </c>
      <c r="F30" s="1" t="n">
        <f aca="false">SUMIFS(Raw_Data!$H$2:$H$1461,Raw_Data!$A$2:$A$1461,A30)</f>
        <v>118</v>
      </c>
      <c r="G30" s="1" t="n">
        <f aca="false">SUMIFS(Raw_Data!$I$2:$I$1461,Raw_Data!$A$2:$A$1461,A30)</f>
        <v>11992.31</v>
      </c>
      <c r="H30" s="1" t="n">
        <v>300</v>
      </c>
      <c r="I30" s="7" t="n">
        <f aca="false">F30/H30</f>
        <v>0.393333333333333</v>
      </c>
      <c r="J30" s="8" t="n">
        <f aca="false">IFERROR(G30/F30,0)</f>
        <v>101.629745762712</v>
      </c>
      <c r="K30" s="8" t="n">
        <f aca="false">G30/H30</f>
        <v>39.9743666666667</v>
      </c>
    </row>
    <row r="31" customFormat="false" ht="15" hidden="false" customHeight="true" outlineLevel="0" collapsed="false">
      <c r="A31" s="1" t="s">
        <v>84</v>
      </c>
      <c r="B31" s="1" t="s">
        <v>51</v>
      </c>
      <c r="C31" s="1" t="s">
        <v>42</v>
      </c>
      <c r="D31" s="1" t="n">
        <v>1</v>
      </c>
      <c r="E31" s="1" t="n">
        <v>5</v>
      </c>
      <c r="F31" s="1" t="n">
        <f aca="false">SUMIFS(Raw_Data!$H$2:$H$1461,Raw_Data!$A$2:$A$1461,A31)</f>
        <v>122</v>
      </c>
      <c r="G31" s="1" t="n">
        <f aca="false">SUMIFS(Raw_Data!$I$2:$I$1461,Raw_Data!$A$2:$A$1461,A31)</f>
        <v>11855.45</v>
      </c>
      <c r="H31" s="1" t="n">
        <v>300</v>
      </c>
      <c r="I31" s="7" t="n">
        <f aca="false">F31/H31</f>
        <v>0.406666666666667</v>
      </c>
      <c r="J31" s="8" t="n">
        <f aca="false">IFERROR(G31/F31,0)</f>
        <v>97.1758196721312</v>
      </c>
      <c r="K31" s="8" t="n">
        <f aca="false">G31/H31</f>
        <v>39.5181666666667</v>
      </c>
    </row>
    <row r="32" customFormat="false" ht="15" hidden="false" customHeight="true" outlineLevel="0" collapsed="false">
      <c r="A32" s="1" t="s">
        <v>85</v>
      </c>
      <c r="B32" s="1" t="s">
        <v>53</v>
      </c>
      <c r="C32" s="1" t="s">
        <v>42</v>
      </c>
      <c r="D32" s="1" t="n">
        <v>1</v>
      </c>
      <c r="E32" s="1" t="n">
        <v>5</v>
      </c>
      <c r="F32" s="1" t="n">
        <f aca="false">SUMIFS(Raw_Data!$H$2:$H$1461,Raw_Data!$A$2:$A$1461,A32)</f>
        <v>118</v>
      </c>
      <c r="G32" s="1" t="n">
        <f aca="false">SUMIFS(Raw_Data!$I$2:$I$1461,Raw_Data!$A$2:$A$1461,A32)</f>
        <v>11444.72</v>
      </c>
      <c r="H32" s="1" t="n">
        <v>300</v>
      </c>
      <c r="I32" s="7" t="n">
        <f aca="false">F32/H32</f>
        <v>0.393333333333333</v>
      </c>
      <c r="J32" s="8" t="n">
        <f aca="false">IFERROR(G32/F32,0)</f>
        <v>96.9891525423729</v>
      </c>
      <c r="K32" s="8" t="n">
        <f aca="false">G32/H32</f>
        <v>38.1490666666667</v>
      </c>
    </row>
    <row r="33" customFormat="false" ht="15" hidden="false" customHeight="true" outlineLevel="0" collapsed="false">
      <c r="A33" s="1" t="s">
        <v>86</v>
      </c>
      <c r="B33" s="1" t="s">
        <v>55</v>
      </c>
      <c r="C33" s="1" t="s">
        <v>87</v>
      </c>
      <c r="D33" s="1" t="n">
        <v>2</v>
      </c>
      <c r="E33" s="1" t="n">
        <v>5</v>
      </c>
      <c r="F33" s="1" t="n">
        <f aca="false">SUMIFS(Raw_Data!$H$2:$H$1461,Raw_Data!$A$2:$A$1461,A33)</f>
        <v>102</v>
      </c>
      <c r="G33" s="1" t="n">
        <f aca="false">SUMIFS(Raw_Data!$I$2:$I$1461,Raw_Data!$A$2:$A$1461,A33)</f>
        <v>10117.97</v>
      </c>
      <c r="H33" s="1" t="n">
        <v>300</v>
      </c>
      <c r="I33" s="7" t="n">
        <f aca="false">F33/H33</f>
        <v>0.34</v>
      </c>
      <c r="J33" s="8" t="n">
        <f aca="false">IFERROR(G33/F33,0)</f>
        <v>99.1957843137255</v>
      </c>
      <c r="K33" s="8" t="n">
        <f aca="false">G33/H33</f>
        <v>33.7265666666667</v>
      </c>
    </row>
    <row r="34" customFormat="false" ht="15" hidden="false" customHeight="true" outlineLevel="0" collapsed="false">
      <c r="A34" s="1" t="s">
        <v>88</v>
      </c>
      <c r="B34" s="1" t="s">
        <v>57</v>
      </c>
      <c r="C34" s="1" t="s">
        <v>87</v>
      </c>
      <c r="D34" s="1" t="n">
        <v>2</v>
      </c>
      <c r="E34" s="1" t="n">
        <v>5</v>
      </c>
      <c r="F34" s="1" t="n">
        <f aca="false">SUMIFS(Raw_Data!$H$2:$H$1461,Raw_Data!$A$2:$A$1461,A34)</f>
        <v>101</v>
      </c>
      <c r="G34" s="1" t="n">
        <f aca="false">SUMIFS(Raw_Data!$I$2:$I$1461,Raw_Data!$A$2:$A$1461,A34)</f>
        <v>9831.19</v>
      </c>
      <c r="H34" s="1" t="n">
        <v>300</v>
      </c>
      <c r="I34" s="7" t="n">
        <f aca="false">F34/H34</f>
        <v>0.336666666666667</v>
      </c>
      <c r="J34" s="8" t="n">
        <f aca="false">IFERROR(G34/F34,0)</f>
        <v>97.3385148514852</v>
      </c>
      <c r="K34" s="8" t="n">
        <f aca="false">G34/H34</f>
        <v>32.7706333333333</v>
      </c>
    </row>
    <row r="35" customFormat="false" ht="15" hidden="false" customHeight="true" outlineLevel="0" collapsed="false">
      <c r="A35" s="1" t="s">
        <v>89</v>
      </c>
      <c r="B35" s="1" t="s">
        <v>59</v>
      </c>
      <c r="C35" s="1" t="s">
        <v>87</v>
      </c>
      <c r="D35" s="1" t="n">
        <v>2</v>
      </c>
      <c r="E35" s="1" t="n">
        <v>6</v>
      </c>
      <c r="F35" s="1" t="n">
        <f aca="false">SUMIFS(Raw_Data!$H$2:$H$1461,Raw_Data!$A$2:$A$1461,A35)</f>
        <v>150</v>
      </c>
      <c r="G35" s="1" t="n">
        <f aca="false">SUMIFS(Raw_Data!$I$2:$I$1461,Raw_Data!$A$2:$A$1461,A35)</f>
        <v>14299.87</v>
      </c>
      <c r="H35" s="1" t="n">
        <v>300</v>
      </c>
      <c r="I35" s="7" t="n">
        <f aca="false">F35/H35</f>
        <v>0.5</v>
      </c>
      <c r="J35" s="8" t="n">
        <f aca="false">IFERROR(G35/F35,0)</f>
        <v>95.3324666666667</v>
      </c>
      <c r="K35" s="8" t="n">
        <f aca="false">G35/H35</f>
        <v>47.6662333333333</v>
      </c>
    </row>
    <row r="36" customFormat="false" ht="15" hidden="false" customHeight="true" outlineLevel="0" collapsed="false">
      <c r="A36" s="1" t="s">
        <v>90</v>
      </c>
      <c r="B36" s="1" t="s">
        <v>61</v>
      </c>
      <c r="C36" s="1" t="s">
        <v>87</v>
      </c>
      <c r="D36" s="1" t="n">
        <v>2</v>
      </c>
      <c r="E36" s="1" t="n">
        <v>6</v>
      </c>
      <c r="F36" s="1" t="n">
        <f aca="false">SUMIFS(Raw_Data!$H$2:$H$1461,Raw_Data!$A$2:$A$1461,A36)</f>
        <v>154</v>
      </c>
      <c r="G36" s="1" t="n">
        <f aca="false">SUMIFS(Raw_Data!$I$2:$I$1461,Raw_Data!$A$2:$A$1461,A36)</f>
        <v>15803.47</v>
      </c>
      <c r="H36" s="1" t="n">
        <v>300</v>
      </c>
      <c r="I36" s="7" t="n">
        <f aca="false">F36/H36</f>
        <v>0.513333333333333</v>
      </c>
      <c r="J36" s="8" t="n">
        <f aca="false">IFERROR(G36/F36,0)</f>
        <v>102.619935064935</v>
      </c>
      <c r="K36" s="8" t="n">
        <f aca="false">G36/H36</f>
        <v>52.6782333333333</v>
      </c>
    </row>
    <row r="37" customFormat="false" ht="15" hidden="false" customHeight="true" outlineLevel="0" collapsed="false">
      <c r="A37" s="1" t="s">
        <v>91</v>
      </c>
      <c r="B37" s="1" t="s">
        <v>41</v>
      </c>
      <c r="C37" s="1" t="s">
        <v>87</v>
      </c>
      <c r="D37" s="1" t="n">
        <v>2</v>
      </c>
      <c r="E37" s="1" t="n">
        <v>6</v>
      </c>
      <c r="F37" s="1" t="n">
        <f aca="false">SUMIFS(Raw_Data!$H$2:$H$1461,Raw_Data!$A$2:$A$1461,A37)</f>
        <v>154</v>
      </c>
      <c r="G37" s="1" t="n">
        <f aca="false">SUMIFS(Raw_Data!$I$2:$I$1461,Raw_Data!$A$2:$A$1461,A37)</f>
        <v>15777.97</v>
      </c>
      <c r="H37" s="1" t="n">
        <v>300</v>
      </c>
      <c r="I37" s="7" t="n">
        <f aca="false">F37/H37</f>
        <v>0.513333333333333</v>
      </c>
      <c r="J37" s="8" t="n">
        <f aca="false">IFERROR(G37/F37,0)</f>
        <v>102.454350649351</v>
      </c>
      <c r="K37" s="8" t="n">
        <f aca="false">G37/H37</f>
        <v>52.5932333333333</v>
      </c>
    </row>
    <row r="38" customFormat="false" ht="15" hidden="false" customHeight="true" outlineLevel="0" collapsed="false">
      <c r="A38" s="1" t="s">
        <v>92</v>
      </c>
      <c r="B38" s="1" t="s">
        <v>51</v>
      </c>
      <c r="C38" s="1" t="s">
        <v>87</v>
      </c>
      <c r="D38" s="1" t="n">
        <v>2</v>
      </c>
      <c r="E38" s="1" t="n">
        <v>6</v>
      </c>
      <c r="F38" s="1" t="n">
        <f aca="false">SUMIFS(Raw_Data!$H$2:$H$1461,Raw_Data!$A$2:$A$1461,A38)</f>
        <v>149</v>
      </c>
      <c r="G38" s="1" t="n">
        <f aca="false">SUMIFS(Raw_Data!$I$2:$I$1461,Raw_Data!$A$2:$A$1461,A38)</f>
        <v>14936.12</v>
      </c>
      <c r="H38" s="1" t="n">
        <v>300</v>
      </c>
      <c r="I38" s="7" t="n">
        <f aca="false">F38/H38</f>
        <v>0.496666666666667</v>
      </c>
      <c r="J38" s="8" t="n">
        <f aca="false">IFERROR(G38/F38,0)</f>
        <v>100.242416107383</v>
      </c>
      <c r="K38" s="8" t="n">
        <f aca="false">G38/H38</f>
        <v>49.7870666666667</v>
      </c>
    </row>
    <row r="39" customFormat="false" ht="15" hidden="false" customHeight="true" outlineLevel="0" collapsed="false">
      <c r="A39" s="1" t="s">
        <v>93</v>
      </c>
      <c r="B39" s="1" t="s">
        <v>53</v>
      </c>
      <c r="C39" s="1" t="s">
        <v>87</v>
      </c>
      <c r="D39" s="1" t="n">
        <v>2</v>
      </c>
      <c r="E39" s="1" t="n">
        <v>6</v>
      </c>
      <c r="F39" s="1" t="n">
        <f aca="false">SUMIFS(Raw_Data!$H$2:$H$1461,Raw_Data!$A$2:$A$1461,A39)</f>
        <v>154</v>
      </c>
      <c r="G39" s="1" t="n">
        <f aca="false">SUMIFS(Raw_Data!$I$2:$I$1461,Raw_Data!$A$2:$A$1461,A39)</f>
        <v>16124.65</v>
      </c>
      <c r="H39" s="1" t="n">
        <v>300</v>
      </c>
      <c r="I39" s="7" t="n">
        <f aca="false">F39/H39</f>
        <v>0.513333333333333</v>
      </c>
      <c r="J39" s="8" t="n">
        <f aca="false">IFERROR(G39/F39,0)</f>
        <v>104.705519480519</v>
      </c>
      <c r="K39" s="8" t="n">
        <f aca="false">G39/H39</f>
        <v>53.7488333333333</v>
      </c>
    </row>
    <row r="40" customFormat="false" ht="15" hidden="false" customHeight="true" outlineLevel="0" collapsed="false">
      <c r="A40" s="1" t="s">
        <v>94</v>
      </c>
      <c r="B40" s="1" t="s">
        <v>55</v>
      </c>
      <c r="C40" s="1" t="s">
        <v>87</v>
      </c>
      <c r="D40" s="1" t="n">
        <v>2</v>
      </c>
      <c r="E40" s="1" t="n">
        <v>6</v>
      </c>
      <c r="F40" s="1" t="n">
        <f aca="false">SUMIFS(Raw_Data!$H$2:$H$1461,Raw_Data!$A$2:$A$1461,A40)</f>
        <v>112</v>
      </c>
      <c r="G40" s="1" t="n">
        <f aca="false">SUMIFS(Raw_Data!$I$2:$I$1461,Raw_Data!$A$2:$A$1461,A40)</f>
        <v>10731.14</v>
      </c>
      <c r="H40" s="1" t="n">
        <v>300</v>
      </c>
      <c r="I40" s="7" t="n">
        <f aca="false">F40/H40</f>
        <v>0.373333333333333</v>
      </c>
      <c r="J40" s="8" t="n">
        <f aca="false">IFERROR(G40/F40,0)</f>
        <v>95.81375</v>
      </c>
      <c r="K40" s="8" t="n">
        <f aca="false">G40/H40</f>
        <v>35.7704666666667</v>
      </c>
    </row>
    <row r="41" customFormat="false" ht="15" hidden="false" customHeight="true" outlineLevel="0" collapsed="false">
      <c r="A41" s="1" t="s">
        <v>95</v>
      </c>
      <c r="B41" s="1" t="s">
        <v>57</v>
      </c>
      <c r="C41" s="1" t="s">
        <v>87</v>
      </c>
      <c r="D41" s="1" t="n">
        <v>2</v>
      </c>
      <c r="E41" s="1" t="n">
        <v>6</v>
      </c>
      <c r="F41" s="1" t="n">
        <f aca="false">SUMIFS(Raw_Data!$H$2:$H$1461,Raw_Data!$A$2:$A$1461,A41)</f>
        <v>115</v>
      </c>
      <c r="G41" s="1" t="n">
        <f aca="false">SUMIFS(Raw_Data!$I$2:$I$1461,Raw_Data!$A$2:$A$1461,A41)</f>
        <v>11074.8</v>
      </c>
      <c r="H41" s="1" t="n">
        <v>300</v>
      </c>
      <c r="I41" s="7" t="n">
        <f aca="false">F41/H41</f>
        <v>0.383333333333333</v>
      </c>
      <c r="J41" s="8" t="n">
        <f aca="false">IFERROR(G41/F41,0)</f>
        <v>96.3026086956522</v>
      </c>
      <c r="K41" s="8" t="n">
        <f aca="false">G41/H41</f>
        <v>36.916</v>
      </c>
    </row>
    <row r="42" customFormat="false" ht="15" hidden="false" customHeight="true" outlineLevel="0" collapsed="false">
      <c r="A42" s="1" t="s">
        <v>96</v>
      </c>
      <c r="B42" s="1" t="s">
        <v>59</v>
      </c>
      <c r="C42" s="1" t="s">
        <v>87</v>
      </c>
      <c r="D42" s="1" t="n">
        <v>2</v>
      </c>
      <c r="E42" s="1" t="n">
        <v>7</v>
      </c>
      <c r="F42" s="1" t="n">
        <f aca="false">SUMIFS(Raw_Data!$H$2:$H$1461,Raw_Data!$A$2:$A$1461,A42)</f>
        <v>147</v>
      </c>
      <c r="G42" s="1" t="n">
        <f aca="false">SUMIFS(Raw_Data!$I$2:$I$1461,Raw_Data!$A$2:$A$1461,A42)</f>
        <v>15563.3</v>
      </c>
      <c r="H42" s="1" t="n">
        <v>300</v>
      </c>
      <c r="I42" s="7" t="n">
        <f aca="false">F42/H42</f>
        <v>0.49</v>
      </c>
      <c r="J42" s="8" t="n">
        <f aca="false">IFERROR(G42/F42,0)</f>
        <v>105.872789115646</v>
      </c>
      <c r="K42" s="8" t="n">
        <f aca="false">G42/H42</f>
        <v>51.8776666666667</v>
      </c>
    </row>
    <row r="43" customFormat="false" ht="15" hidden="false" customHeight="true" outlineLevel="0" collapsed="false">
      <c r="A43" s="1" t="s">
        <v>97</v>
      </c>
      <c r="B43" s="1" t="s">
        <v>61</v>
      </c>
      <c r="C43" s="1" t="s">
        <v>87</v>
      </c>
      <c r="D43" s="1" t="n">
        <v>2</v>
      </c>
      <c r="E43" s="1" t="n">
        <v>7</v>
      </c>
      <c r="F43" s="1" t="n">
        <f aca="false">SUMIFS(Raw_Data!$H$2:$H$1461,Raw_Data!$A$2:$A$1461,A43)</f>
        <v>154</v>
      </c>
      <c r="G43" s="1" t="n">
        <f aca="false">SUMIFS(Raw_Data!$I$2:$I$1461,Raw_Data!$A$2:$A$1461,A43)</f>
        <v>15963.78</v>
      </c>
      <c r="H43" s="1" t="n">
        <v>300</v>
      </c>
      <c r="I43" s="7" t="n">
        <f aca="false">F43/H43</f>
        <v>0.513333333333333</v>
      </c>
      <c r="J43" s="8" t="n">
        <f aca="false">IFERROR(G43/F43,0)</f>
        <v>103.660909090909</v>
      </c>
      <c r="K43" s="8" t="n">
        <f aca="false">G43/H43</f>
        <v>53.2126</v>
      </c>
    </row>
    <row r="44" customFormat="false" ht="15" hidden="false" customHeight="true" outlineLevel="0" collapsed="false">
      <c r="A44" s="1" t="s">
        <v>98</v>
      </c>
      <c r="B44" s="1" t="s">
        <v>41</v>
      </c>
      <c r="C44" s="1" t="s">
        <v>87</v>
      </c>
      <c r="D44" s="1" t="n">
        <v>2</v>
      </c>
      <c r="E44" s="1" t="n">
        <v>7</v>
      </c>
      <c r="F44" s="1" t="n">
        <f aca="false">SUMIFS(Raw_Data!$H$2:$H$1461,Raw_Data!$A$2:$A$1461,A44)</f>
        <v>141</v>
      </c>
      <c r="G44" s="1" t="n">
        <f aca="false">SUMIFS(Raw_Data!$I$2:$I$1461,Raw_Data!$A$2:$A$1461,A44)</f>
        <v>14166.98</v>
      </c>
      <c r="H44" s="1" t="n">
        <v>300</v>
      </c>
      <c r="I44" s="7" t="n">
        <f aca="false">F44/H44</f>
        <v>0.47</v>
      </c>
      <c r="J44" s="8" t="n">
        <f aca="false">IFERROR(G44/F44,0)</f>
        <v>100.475035460993</v>
      </c>
      <c r="K44" s="8" t="n">
        <f aca="false">G44/H44</f>
        <v>47.2232666666667</v>
      </c>
    </row>
    <row r="45" customFormat="false" ht="15" hidden="false" customHeight="true" outlineLevel="0" collapsed="false">
      <c r="A45" s="1" t="s">
        <v>99</v>
      </c>
      <c r="B45" s="1" t="s">
        <v>51</v>
      </c>
      <c r="C45" s="1" t="s">
        <v>87</v>
      </c>
      <c r="D45" s="1" t="n">
        <v>2</v>
      </c>
      <c r="E45" s="1" t="n">
        <v>7</v>
      </c>
      <c r="F45" s="1" t="n">
        <f aca="false">SUMIFS(Raw_Data!$H$2:$H$1461,Raw_Data!$A$2:$A$1461,A45)</f>
        <v>140</v>
      </c>
      <c r="G45" s="1" t="n">
        <f aca="false">SUMIFS(Raw_Data!$I$2:$I$1461,Raw_Data!$A$2:$A$1461,A45)</f>
        <v>14519.24</v>
      </c>
      <c r="H45" s="1" t="n">
        <v>300</v>
      </c>
      <c r="I45" s="7" t="n">
        <f aca="false">F45/H45</f>
        <v>0.466666666666667</v>
      </c>
      <c r="J45" s="8" t="n">
        <f aca="false">IFERROR(G45/F45,0)</f>
        <v>103.708857142857</v>
      </c>
      <c r="K45" s="8" t="n">
        <f aca="false">G45/H45</f>
        <v>48.3974666666667</v>
      </c>
    </row>
    <row r="46" customFormat="false" ht="15" hidden="false" customHeight="true" outlineLevel="0" collapsed="false">
      <c r="A46" s="1" t="s">
        <v>100</v>
      </c>
      <c r="B46" s="1" t="s">
        <v>53</v>
      </c>
      <c r="C46" s="1" t="s">
        <v>87</v>
      </c>
      <c r="D46" s="1" t="n">
        <v>2</v>
      </c>
      <c r="E46" s="1" t="n">
        <v>7</v>
      </c>
      <c r="F46" s="1" t="n">
        <f aca="false">SUMIFS(Raw_Data!$H$2:$H$1461,Raw_Data!$A$2:$A$1461,A46)</f>
        <v>154</v>
      </c>
      <c r="G46" s="1" t="n">
        <f aca="false">SUMIFS(Raw_Data!$I$2:$I$1461,Raw_Data!$A$2:$A$1461,A46)</f>
        <v>15517.46</v>
      </c>
      <c r="H46" s="1" t="n">
        <v>300</v>
      </c>
      <c r="I46" s="7" t="n">
        <f aca="false">F46/H46</f>
        <v>0.513333333333333</v>
      </c>
      <c r="J46" s="8" t="n">
        <f aca="false">IFERROR(G46/F46,0)</f>
        <v>100.762727272727</v>
      </c>
      <c r="K46" s="8" t="n">
        <f aca="false">G46/H46</f>
        <v>51.7248666666667</v>
      </c>
    </row>
    <row r="47" customFormat="false" ht="15" hidden="false" customHeight="true" outlineLevel="0" collapsed="false">
      <c r="A47" s="1" t="s">
        <v>101</v>
      </c>
      <c r="B47" s="1" t="s">
        <v>55</v>
      </c>
      <c r="C47" s="1" t="s">
        <v>87</v>
      </c>
      <c r="D47" s="1" t="n">
        <v>2</v>
      </c>
      <c r="E47" s="1" t="n">
        <v>7</v>
      </c>
      <c r="F47" s="1" t="n">
        <f aca="false">SUMIFS(Raw_Data!$H$2:$H$1461,Raw_Data!$A$2:$A$1461,A47)</f>
        <v>109</v>
      </c>
      <c r="G47" s="1" t="n">
        <f aca="false">SUMIFS(Raw_Data!$I$2:$I$1461,Raw_Data!$A$2:$A$1461,A47)</f>
        <v>10678.37</v>
      </c>
      <c r="H47" s="1" t="n">
        <v>300</v>
      </c>
      <c r="I47" s="7" t="n">
        <f aca="false">F47/H47</f>
        <v>0.363333333333333</v>
      </c>
      <c r="J47" s="8" t="n">
        <f aca="false">IFERROR(G47/F47,0)</f>
        <v>97.9666972477064</v>
      </c>
      <c r="K47" s="8" t="n">
        <f aca="false">G47/H47</f>
        <v>35.5945666666667</v>
      </c>
    </row>
    <row r="48" customFormat="false" ht="15" hidden="false" customHeight="true" outlineLevel="0" collapsed="false">
      <c r="A48" s="1" t="s">
        <v>102</v>
      </c>
      <c r="B48" s="1" t="s">
        <v>57</v>
      </c>
      <c r="C48" s="1" t="s">
        <v>87</v>
      </c>
      <c r="D48" s="1" t="n">
        <v>2</v>
      </c>
      <c r="E48" s="1" t="n">
        <v>7</v>
      </c>
      <c r="F48" s="1" t="n">
        <f aca="false">SUMIFS(Raw_Data!$H$2:$H$1461,Raw_Data!$A$2:$A$1461,A48)</f>
        <v>115</v>
      </c>
      <c r="G48" s="1" t="n">
        <f aca="false">SUMIFS(Raw_Data!$I$2:$I$1461,Raw_Data!$A$2:$A$1461,A48)</f>
        <v>10909.22</v>
      </c>
      <c r="H48" s="1" t="n">
        <v>300</v>
      </c>
      <c r="I48" s="7" t="n">
        <f aca="false">F48/H48</f>
        <v>0.383333333333333</v>
      </c>
      <c r="J48" s="8" t="n">
        <f aca="false">IFERROR(G48/F48,0)</f>
        <v>94.8627826086957</v>
      </c>
      <c r="K48" s="8" t="n">
        <f aca="false">G48/H48</f>
        <v>36.3640666666667</v>
      </c>
    </row>
    <row r="49" customFormat="false" ht="15" hidden="false" customHeight="true" outlineLevel="0" collapsed="false">
      <c r="A49" s="1" t="s">
        <v>103</v>
      </c>
      <c r="B49" s="1" t="s">
        <v>59</v>
      </c>
      <c r="C49" s="1" t="s">
        <v>87</v>
      </c>
      <c r="D49" s="1" t="n">
        <v>2</v>
      </c>
      <c r="E49" s="1" t="n">
        <v>8</v>
      </c>
      <c r="F49" s="1" t="n">
        <f aca="false">SUMIFS(Raw_Data!$H$2:$H$1461,Raw_Data!$A$2:$A$1461,A49)</f>
        <v>150</v>
      </c>
      <c r="G49" s="1" t="n">
        <f aca="false">SUMIFS(Raw_Data!$I$2:$I$1461,Raw_Data!$A$2:$A$1461,A49)</f>
        <v>15432.91</v>
      </c>
      <c r="H49" s="1" t="n">
        <v>300</v>
      </c>
      <c r="I49" s="7" t="n">
        <f aca="false">F49/H49</f>
        <v>0.5</v>
      </c>
      <c r="J49" s="8" t="n">
        <f aca="false">IFERROR(G49/F49,0)</f>
        <v>102.886066666667</v>
      </c>
      <c r="K49" s="8" t="n">
        <f aca="false">G49/H49</f>
        <v>51.4430333333333</v>
      </c>
    </row>
    <row r="50" customFormat="false" ht="15" hidden="false" customHeight="true" outlineLevel="0" collapsed="false">
      <c r="A50" s="1" t="s">
        <v>104</v>
      </c>
      <c r="B50" s="1" t="s">
        <v>61</v>
      </c>
      <c r="C50" s="1" t="s">
        <v>87</v>
      </c>
      <c r="D50" s="1" t="n">
        <v>2</v>
      </c>
      <c r="E50" s="1" t="n">
        <v>8</v>
      </c>
      <c r="F50" s="1" t="n">
        <f aca="false">SUMIFS(Raw_Data!$H$2:$H$1461,Raw_Data!$A$2:$A$1461,A50)</f>
        <v>142</v>
      </c>
      <c r="G50" s="1" t="n">
        <f aca="false">SUMIFS(Raw_Data!$I$2:$I$1461,Raw_Data!$A$2:$A$1461,A50)</f>
        <v>14790.83</v>
      </c>
      <c r="H50" s="1" t="n">
        <v>300</v>
      </c>
      <c r="I50" s="7" t="n">
        <f aca="false">F50/H50</f>
        <v>0.473333333333333</v>
      </c>
      <c r="J50" s="8" t="n">
        <f aca="false">IFERROR(G50/F50,0)</f>
        <v>104.160774647887</v>
      </c>
      <c r="K50" s="8" t="n">
        <f aca="false">G50/H50</f>
        <v>49.3027666666667</v>
      </c>
    </row>
    <row r="51" customFormat="false" ht="15" hidden="false" customHeight="true" outlineLevel="0" collapsed="false">
      <c r="A51" s="1" t="s">
        <v>105</v>
      </c>
      <c r="B51" s="1" t="s">
        <v>41</v>
      </c>
      <c r="C51" s="1" t="s">
        <v>87</v>
      </c>
      <c r="D51" s="1" t="n">
        <v>2</v>
      </c>
      <c r="E51" s="1" t="n">
        <v>8</v>
      </c>
      <c r="F51" s="1" t="n">
        <f aca="false">SUMIFS(Raw_Data!$H$2:$H$1461,Raw_Data!$A$2:$A$1461,A51)</f>
        <v>135</v>
      </c>
      <c r="G51" s="1" t="n">
        <f aca="false">SUMIFS(Raw_Data!$I$2:$I$1461,Raw_Data!$A$2:$A$1461,A51)</f>
        <v>14938.47</v>
      </c>
      <c r="H51" s="1" t="n">
        <v>300</v>
      </c>
      <c r="I51" s="7" t="n">
        <f aca="false">F51/H51</f>
        <v>0.45</v>
      </c>
      <c r="J51" s="8" t="n">
        <f aca="false">IFERROR(G51/F51,0)</f>
        <v>110.655333333333</v>
      </c>
      <c r="K51" s="8" t="n">
        <f aca="false">G51/H51</f>
        <v>49.7949</v>
      </c>
    </row>
    <row r="52" customFormat="false" ht="15" hidden="false" customHeight="true" outlineLevel="0" collapsed="false">
      <c r="A52" s="1" t="s">
        <v>106</v>
      </c>
      <c r="B52" s="1" t="s">
        <v>51</v>
      </c>
      <c r="C52" s="1" t="s">
        <v>87</v>
      </c>
      <c r="D52" s="1" t="n">
        <v>2</v>
      </c>
      <c r="E52" s="1" t="n">
        <v>8</v>
      </c>
      <c r="F52" s="1" t="n">
        <f aca="false">SUMIFS(Raw_Data!$H$2:$H$1461,Raw_Data!$A$2:$A$1461,A52)</f>
        <v>132</v>
      </c>
      <c r="G52" s="1" t="n">
        <f aca="false">SUMIFS(Raw_Data!$I$2:$I$1461,Raw_Data!$A$2:$A$1461,A52)</f>
        <v>13278.54</v>
      </c>
      <c r="H52" s="1" t="n">
        <v>300</v>
      </c>
      <c r="I52" s="7" t="n">
        <f aca="false">F52/H52</f>
        <v>0.44</v>
      </c>
      <c r="J52" s="8" t="n">
        <f aca="false">IFERROR(G52/F52,0)</f>
        <v>100.595</v>
      </c>
      <c r="K52" s="8" t="n">
        <f aca="false">G52/H52</f>
        <v>44.2618</v>
      </c>
    </row>
    <row r="53" customFormat="false" ht="15" hidden="false" customHeight="true" outlineLevel="0" collapsed="false">
      <c r="A53" s="1" t="s">
        <v>107</v>
      </c>
      <c r="B53" s="1" t="s">
        <v>53</v>
      </c>
      <c r="C53" s="1" t="s">
        <v>87</v>
      </c>
      <c r="D53" s="1" t="n">
        <v>2</v>
      </c>
      <c r="E53" s="1" t="n">
        <v>8</v>
      </c>
      <c r="F53" s="1" t="n">
        <f aca="false">SUMIFS(Raw_Data!$H$2:$H$1461,Raw_Data!$A$2:$A$1461,A53)</f>
        <v>147</v>
      </c>
      <c r="G53" s="1" t="n">
        <f aca="false">SUMIFS(Raw_Data!$I$2:$I$1461,Raw_Data!$A$2:$A$1461,A53)</f>
        <v>15334.56</v>
      </c>
      <c r="H53" s="1" t="n">
        <v>300</v>
      </c>
      <c r="I53" s="7" t="n">
        <f aca="false">F53/H53</f>
        <v>0.49</v>
      </c>
      <c r="J53" s="8" t="n">
        <f aca="false">IFERROR(G53/F53,0)</f>
        <v>104.316734693878</v>
      </c>
      <c r="K53" s="8" t="n">
        <f aca="false">G53/H53</f>
        <v>51.1152</v>
      </c>
    </row>
    <row r="54" customFormat="false" ht="15" hidden="false" customHeight="true" outlineLevel="0" collapsed="false">
      <c r="A54" s="1" t="s">
        <v>108</v>
      </c>
      <c r="B54" s="1" t="s">
        <v>55</v>
      </c>
      <c r="C54" s="1" t="s">
        <v>87</v>
      </c>
      <c r="D54" s="1" t="n">
        <v>2</v>
      </c>
      <c r="E54" s="1" t="n">
        <v>8</v>
      </c>
      <c r="F54" s="1" t="n">
        <f aca="false">SUMIFS(Raw_Data!$H$2:$H$1461,Raw_Data!$A$2:$A$1461,A54)</f>
        <v>116</v>
      </c>
      <c r="G54" s="1" t="n">
        <f aca="false">SUMIFS(Raw_Data!$I$2:$I$1461,Raw_Data!$A$2:$A$1461,A54)</f>
        <v>11481.74</v>
      </c>
      <c r="H54" s="1" t="n">
        <v>300</v>
      </c>
      <c r="I54" s="7" t="n">
        <f aca="false">F54/H54</f>
        <v>0.386666666666667</v>
      </c>
      <c r="J54" s="8" t="n">
        <f aca="false">IFERROR(G54/F54,0)</f>
        <v>98.9805172413793</v>
      </c>
      <c r="K54" s="8" t="n">
        <f aca="false">G54/H54</f>
        <v>38.2724666666667</v>
      </c>
    </row>
    <row r="55" customFormat="false" ht="15" hidden="false" customHeight="true" outlineLevel="0" collapsed="false">
      <c r="A55" s="1" t="s">
        <v>109</v>
      </c>
      <c r="B55" s="1" t="s">
        <v>57</v>
      </c>
      <c r="C55" s="1" t="s">
        <v>87</v>
      </c>
      <c r="D55" s="1" t="n">
        <v>2</v>
      </c>
      <c r="E55" s="1" t="n">
        <v>8</v>
      </c>
      <c r="F55" s="1" t="n">
        <f aca="false">SUMIFS(Raw_Data!$H$2:$H$1461,Raw_Data!$A$2:$A$1461,A55)</f>
        <v>102</v>
      </c>
      <c r="G55" s="1" t="n">
        <f aca="false">SUMIFS(Raw_Data!$I$2:$I$1461,Raw_Data!$A$2:$A$1461,A55)</f>
        <v>9682.58</v>
      </c>
      <c r="H55" s="1" t="n">
        <v>300</v>
      </c>
      <c r="I55" s="7" t="n">
        <f aca="false">F55/H55</f>
        <v>0.34</v>
      </c>
      <c r="J55" s="8" t="n">
        <f aca="false">IFERROR(G55/F55,0)</f>
        <v>94.9272549019608</v>
      </c>
      <c r="K55" s="8" t="n">
        <f aca="false">G55/H55</f>
        <v>32.2752666666667</v>
      </c>
    </row>
    <row r="56" customFormat="false" ht="15" hidden="false" customHeight="true" outlineLevel="0" collapsed="false">
      <c r="A56" s="1" t="s">
        <v>110</v>
      </c>
      <c r="B56" s="1" t="s">
        <v>59</v>
      </c>
      <c r="C56" s="1" t="s">
        <v>87</v>
      </c>
      <c r="D56" s="1" t="n">
        <v>2</v>
      </c>
      <c r="E56" s="1" t="n">
        <v>9</v>
      </c>
      <c r="F56" s="1" t="n">
        <f aca="false">SUMIFS(Raw_Data!$H$2:$H$1461,Raw_Data!$A$2:$A$1461,A56)</f>
        <v>147</v>
      </c>
      <c r="G56" s="1" t="n">
        <f aca="false">SUMIFS(Raw_Data!$I$2:$I$1461,Raw_Data!$A$2:$A$1461,A56)</f>
        <v>15273.47</v>
      </c>
      <c r="H56" s="1" t="n">
        <v>300</v>
      </c>
      <c r="I56" s="7" t="n">
        <f aca="false">F56/H56</f>
        <v>0.49</v>
      </c>
      <c r="J56" s="8" t="n">
        <f aca="false">IFERROR(G56/F56,0)</f>
        <v>103.901156462585</v>
      </c>
      <c r="K56" s="8" t="n">
        <f aca="false">G56/H56</f>
        <v>50.9115666666667</v>
      </c>
    </row>
    <row r="57" customFormat="false" ht="15" hidden="false" customHeight="true" outlineLevel="0" collapsed="false">
      <c r="A57" s="1" t="s">
        <v>111</v>
      </c>
      <c r="B57" s="1" t="s">
        <v>61</v>
      </c>
      <c r="C57" s="1" t="s">
        <v>87</v>
      </c>
      <c r="D57" s="1" t="n">
        <v>2</v>
      </c>
      <c r="E57" s="1" t="n">
        <v>9</v>
      </c>
      <c r="F57" s="1" t="n">
        <f aca="false">SUMIFS(Raw_Data!$H$2:$H$1461,Raw_Data!$A$2:$A$1461,A57)</f>
        <v>145</v>
      </c>
      <c r="G57" s="1" t="n">
        <f aca="false">SUMIFS(Raw_Data!$I$2:$I$1461,Raw_Data!$A$2:$A$1461,A57)</f>
        <v>14877.51</v>
      </c>
      <c r="H57" s="1" t="n">
        <v>300</v>
      </c>
      <c r="I57" s="7" t="n">
        <f aca="false">F57/H57</f>
        <v>0.483333333333333</v>
      </c>
      <c r="J57" s="8" t="n">
        <f aca="false">IFERROR(G57/F57,0)</f>
        <v>102.603517241379</v>
      </c>
      <c r="K57" s="8" t="n">
        <f aca="false">G57/H57</f>
        <v>49.5917</v>
      </c>
    </row>
    <row r="58" customFormat="false" ht="15" hidden="false" customHeight="true" outlineLevel="0" collapsed="false">
      <c r="A58" s="1" t="s">
        <v>112</v>
      </c>
      <c r="B58" s="1" t="s">
        <v>41</v>
      </c>
      <c r="C58" s="1" t="s">
        <v>87</v>
      </c>
      <c r="D58" s="1" t="n">
        <v>2</v>
      </c>
      <c r="E58" s="1" t="n">
        <v>9</v>
      </c>
      <c r="F58" s="1" t="n">
        <f aca="false">SUMIFS(Raw_Data!$H$2:$H$1461,Raw_Data!$A$2:$A$1461,A58)</f>
        <v>140</v>
      </c>
      <c r="G58" s="1" t="n">
        <f aca="false">SUMIFS(Raw_Data!$I$2:$I$1461,Raw_Data!$A$2:$A$1461,A58)</f>
        <v>13893.81</v>
      </c>
      <c r="H58" s="1" t="n">
        <v>300</v>
      </c>
      <c r="I58" s="7" t="n">
        <f aca="false">F58/H58</f>
        <v>0.466666666666667</v>
      </c>
      <c r="J58" s="8" t="n">
        <f aca="false">IFERROR(G58/F58,0)</f>
        <v>99.2415</v>
      </c>
      <c r="K58" s="8" t="n">
        <f aca="false">G58/H58</f>
        <v>46.3127</v>
      </c>
    </row>
    <row r="59" customFormat="false" ht="15" hidden="false" customHeight="true" outlineLevel="0" collapsed="false">
      <c r="A59" s="1" t="s">
        <v>113</v>
      </c>
      <c r="B59" s="1" t="s">
        <v>51</v>
      </c>
      <c r="C59" s="1" t="s">
        <v>87</v>
      </c>
      <c r="D59" s="1" t="n">
        <v>2</v>
      </c>
      <c r="E59" s="1" t="n">
        <v>9</v>
      </c>
      <c r="F59" s="1" t="n">
        <f aca="false">SUMIFS(Raw_Data!$H$2:$H$1461,Raw_Data!$A$2:$A$1461,A59)</f>
        <v>148</v>
      </c>
      <c r="G59" s="1" t="n">
        <f aca="false">SUMIFS(Raw_Data!$I$2:$I$1461,Raw_Data!$A$2:$A$1461,A59)</f>
        <v>14528.92</v>
      </c>
      <c r="H59" s="1" t="n">
        <v>300</v>
      </c>
      <c r="I59" s="7" t="n">
        <f aca="false">F59/H59</f>
        <v>0.493333333333333</v>
      </c>
      <c r="J59" s="8" t="n">
        <f aca="false">IFERROR(G59/F59,0)</f>
        <v>98.1683783783784</v>
      </c>
      <c r="K59" s="8" t="n">
        <f aca="false">G59/H59</f>
        <v>48.4297333333333</v>
      </c>
    </row>
    <row r="60" customFormat="false" ht="15" hidden="false" customHeight="true" outlineLevel="0" collapsed="false">
      <c r="A60" s="1" t="s">
        <v>114</v>
      </c>
      <c r="B60" s="1" t="s">
        <v>53</v>
      </c>
      <c r="C60" s="1" t="s">
        <v>87</v>
      </c>
      <c r="D60" s="1" t="n">
        <v>2</v>
      </c>
      <c r="E60" s="1" t="n">
        <v>9</v>
      </c>
      <c r="F60" s="1" t="n">
        <f aca="false">SUMIFS(Raw_Data!$H$2:$H$1461,Raw_Data!$A$2:$A$1461,A60)</f>
        <v>146</v>
      </c>
      <c r="G60" s="1" t="n">
        <f aca="false">SUMIFS(Raw_Data!$I$2:$I$1461,Raw_Data!$A$2:$A$1461,A60)</f>
        <v>14591.81</v>
      </c>
      <c r="H60" s="1" t="n">
        <v>300</v>
      </c>
      <c r="I60" s="7" t="n">
        <f aca="false">F60/H60</f>
        <v>0.486666666666667</v>
      </c>
      <c r="J60" s="8" t="n">
        <f aca="false">IFERROR(G60/F60,0)</f>
        <v>99.9439041095891</v>
      </c>
      <c r="K60" s="8" t="n">
        <f aca="false">G60/H60</f>
        <v>48.6393666666667</v>
      </c>
    </row>
    <row r="61" customFormat="false" ht="15" hidden="false" customHeight="true" outlineLevel="0" collapsed="false">
      <c r="A61" s="1" t="s">
        <v>115</v>
      </c>
      <c r="B61" s="1" t="s">
        <v>55</v>
      </c>
      <c r="C61" s="1" t="s">
        <v>116</v>
      </c>
      <c r="D61" s="1" t="n">
        <v>3</v>
      </c>
      <c r="E61" s="1" t="n">
        <v>9</v>
      </c>
      <c r="F61" s="1" t="n">
        <f aca="false">SUMIFS(Raw_Data!$H$2:$H$1461,Raw_Data!$A$2:$A$1461,A61)</f>
        <v>146</v>
      </c>
      <c r="G61" s="1" t="n">
        <f aca="false">SUMIFS(Raw_Data!$I$2:$I$1461,Raw_Data!$A$2:$A$1461,A61)</f>
        <v>15001.96</v>
      </c>
      <c r="H61" s="1" t="n">
        <v>300</v>
      </c>
      <c r="I61" s="7" t="n">
        <f aca="false">F61/H61</f>
        <v>0.486666666666667</v>
      </c>
      <c r="J61" s="8" t="n">
        <f aca="false">IFERROR(G61/F61,0)</f>
        <v>102.753150684932</v>
      </c>
      <c r="K61" s="8" t="n">
        <f aca="false">G61/H61</f>
        <v>50.0065333333333</v>
      </c>
    </row>
    <row r="62" customFormat="false" ht="15" hidden="false" customHeight="true" outlineLevel="0" collapsed="false">
      <c r="A62" s="1" t="s">
        <v>117</v>
      </c>
      <c r="B62" s="1" t="s">
        <v>57</v>
      </c>
      <c r="C62" s="1" t="s">
        <v>116</v>
      </c>
      <c r="D62" s="1" t="n">
        <v>3</v>
      </c>
      <c r="E62" s="1" t="n">
        <v>9</v>
      </c>
      <c r="F62" s="1" t="n">
        <f aca="false">SUMIFS(Raw_Data!$H$2:$H$1461,Raw_Data!$A$2:$A$1461,A62)</f>
        <v>117</v>
      </c>
      <c r="G62" s="1" t="n">
        <f aca="false">SUMIFS(Raw_Data!$I$2:$I$1461,Raw_Data!$A$2:$A$1461,A62)</f>
        <v>11431.66</v>
      </c>
      <c r="H62" s="1" t="n">
        <v>300</v>
      </c>
      <c r="I62" s="7" t="n">
        <f aca="false">F62/H62</f>
        <v>0.39</v>
      </c>
      <c r="J62" s="8" t="n">
        <f aca="false">IFERROR(G62/F62,0)</f>
        <v>97.7064957264957</v>
      </c>
      <c r="K62" s="8" t="n">
        <f aca="false">G62/H62</f>
        <v>38.1055333333333</v>
      </c>
    </row>
    <row r="63" customFormat="false" ht="15" hidden="false" customHeight="true" outlineLevel="0" collapsed="false">
      <c r="A63" s="1" t="s">
        <v>118</v>
      </c>
      <c r="B63" s="1" t="s">
        <v>59</v>
      </c>
      <c r="C63" s="1" t="s">
        <v>116</v>
      </c>
      <c r="D63" s="1" t="n">
        <v>3</v>
      </c>
      <c r="E63" s="1" t="n">
        <v>10</v>
      </c>
      <c r="F63" s="1" t="n">
        <f aca="false">SUMIFS(Raw_Data!$H$2:$H$1461,Raw_Data!$A$2:$A$1461,A63)</f>
        <v>196</v>
      </c>
      <c r="G63" s="1" t="n">
        <f aca="false">SUMIFS(Raw_Data!$I$2:$I$1461,Raw_Data!$A$2:$A$1461,A63)</f>
        <v>22166.83</v>
      </c>
      <c r="H63" s="1" t="n">
        <v>300</v>
      </c>
      <c r="I63" s="7" t="n">
        <f aca="false">F63/H63</f>
        <v>0.653333333333333</v>
      </c>
      <c r="J63" s="8" t="n">
        <f aca="false">IFERROR(G63/F63,0)</f>
        <v>113.096071428571</v>
      </c>
      <c r="K63" s="8" t="n">
        <f aca="false">G63/H63</f>
        <v>73.8894333333333</v>
      </c>
    </row>
    <row r="64" customFormat="false" ht="15" hidden="false" customHeight="true" outlineLevel="0" collapsed="false">
      <c r="A64" s="1" t="s">
        <v>119</v>
      </c>
      <c r="B64" s="1" t="s">
        <v>61</v>
      </c>
      <c r="C64" s="1" t="s">
        <v>116</v>
      </c>
      <c r="D64" s="1" t="n">
        <v>3</v>
      </c>
      <c r="E64" s="1" t="n">
        <v>10</v>
      </c>
      <c r="F64" s="1" t="n">
        <f aca="false">SUMIFS(Raw_Data!$H$2:$H$1461,Raw_Data!$A$2:$A$1461,A64)</f>
        <v>165</v>
      </c>
      <c r="G64" s="1" t="n">
        <f aca="false">SUMIFS(Raw_Data!$I$2:$I$1461,Raw_Data!$A$2:$A$1461,A64)</f>
        <v>17985.35</v>
      </c>
      <c r="H64" s="1" t="n">
        <v>300</v>
      </c>
      <c r="I64" s="7" t="n">
        <f aca="false">F64/H64</f>
        <v>0.55</v>
      </c>
      <c r="J64" s="8" t="n">
        <f aca="false">IFERROR(G64/F64,0)</f>
        <v>109.002121212121</v>
      </c>
      <c r="K64" s="8" t="n">
        <f aca="false">G64/H64</f>
        <v>59.9511666666667</v>
      </c>
    </row>
    <row r="65" customFormat="false" ht="15" hidden="false" customHeight="true" outlineLevel="0" collapsed="false">
      <c r="A65" s="1" t="s">
        <v>120</v>
      </c>
      <c r="B65" s="1" t="s">
        <v>41</v>
      </c>
      <c r="C65" s="1" t="s">
        <v>116</v>
      </c>
      <c r="D65" s="1" t="n">
        <v>3</v>
      </c>
      <c r="E65" s="1" t="n">
        <v>10</v>
      </c>
      <c r="F65" s="1" t="n">
        <f aca="false">SUMIFS(Raw_Data!$H$2:$H$1461,Raw_Data!$A$2:$A$1461,A65)</f>
        <v>170</v>
      </c>
      <c r="G65" s="1" t="n">
        <f aca="false">SUMIFS(Raw_Data!$I$2:$I$1461,Raw_Data!$A$2:$A$1461,A65)</f>
        <v>17798.83</v>
      </c>
      <c r="H65" s="1" t="n">
        <v>300</v>
      </c>
      <c r="I65" s="7" t="n">
        <f aca="false">F65/H65</f>
        <v>0.566666666666667</v>
      </c>
      <c r="J65" s="8" t="n">
        <f aca="false">IFERROR(G65/F65,0)</f>
        <v>104.699</v>
      </c>
      <c r="K65" s="8" t="n">
        <f aca="false">G65/H65</f>
        <v>59.3294333333333</v>
      </c>
    </row>
    <row r="66" customFormat="false" ht="15" hidden="false" customHeight="true" outlineLevel="0" collapsed="false">
      <c r="A66" s="1" t="s">
        <v>121</v>
      </c>
      <c r="B66" s="1" t="s">
        <v>51</v>
      </c>
      <c r="C66" s="1" t="s">
        <v>116</v>
      </c>
      <c r="D66" s="1" t="n">
        <v>3</v>
      </c>
      <c r="E66" s="1" t="n">
        <v>10</v>
      </c>
      <c r="F66" s="1" t="n">
        <f aca="false">SUMIFS(Raw_Data!$H$2:$H$1461,Raw_Data!$A$2:$A$1461,A66)</f>
        <v>175</v>
      </c>
      <c r="G66" s="1" t="n">
        <f aca="false">SUMIFS(Raw_Data!$I$2:$I$1461,Raw_Data!$A$2:$A$1461,A66)</f>
        <v>18368.61</v>
      </c>
      <c r="H66" s="1" t="n">
        <v>300</v>
      </c>
      <c r="I66" s="7" t="n">
        <f aca="false">F66/H66</f>
        <v>0.583333333333333</v>
      </c>
      <c r="J66" s="8" t="n">
        <f aca="false">IFERROR(G66/F66,0)</f>
        <v>104.963485714286</v>
      </c>
      <c r="K66" s="8" t="n">
        <f aca="false">G66/H66</f>
        <v>61.2287</v>
      </c>
    </row>
    <row r="67" customFormat="false" ht="15" hidden="false" customHeight="true" outlineLevel="0" collapsed="false">
      <c r="A67" s="1" t="s">
        <v>122</v>
      </c>
      <c r="B67" s="1" t="s">
        <v>53</v>
      </c>
      <c r="C67" s="1" t="s">
        <v>116</v>
      </c>
      <c r="D67" s="1" t="n">
        <v>3</v>
      </c>
      <c r="E67" s="1" t="n">
        <v>10</v>
      </c>
      <c r="F67" s="1" t="n">
        <f aca="false">SUMIFS(Raw_Data!$H$2:$H$1461,Raw_Data!$A$2:$A$1461,A67)</f>
        <v>154</v>
      </c>
      <c r="G67" s="1" t="n">
        <f aca="false">SUMIFS(Raw_Data!$I$2:$I$1461,Raw_Data!$A$2:$A$1461,A67)</f>
        <v>16766.05</v>
      </c>
      <c r="H67" s="1" t="n">
        <v>300</v>
      </c>
      <c r="I67" s="7" t="n">
        <f aca="false">F67/H67</f>
        <v>0.513333333333333</v>
      </c>
      <c r="J67" s="8" t="n">
        <f aca="false">IFERROR(G67/F67,0)</f>
        <v>108.870454545455</v>
      </c>
      <c r="K67" s="8" t="n">
        <f aca="false">G67/H67</f>
        <v>55.8868333333333</v>
      </c>
    </row>
    <row r="68" customFormat="false" ht="15" hidden="false" customHeight="true" outlineLevel="0" collapsed="false">
      <c r="A68" s="1" t="s">
        <v>123</v>
      </c>
      <c r="B68" s="1" t="s">
        <v>55</v>
      </c>
      <c r="C68" s="1" t="s">
        <v>116</v>
      </c>
      <c r="D68" s="1" t="n">
        <v>3</v>
      </c>
      <c r="E68" s="1" t="n">
        <v>10</v>
      </c>
      <c r="F68" s="1" t="n">
        <f aca="false">SUMIFS(Raw_Data!$H$2:$H$1461,Raw_Data!$A$2:$A$1461,A68)</f>
        <v>129</v>
      </c>
      <c r="G68" s="1" t="n">
        <f aca="false">SUMIFS(Raw_Data!$I$2:$I$1461,Raw_Data!$A$2:$A$1461,A68)</f>
        <v>12265.48</v>
      </c>
      <c r="H68" s="1" t="n">
        <v>300</v>
      </c>
      <c r="I68" s="7" t="n">
        <f aca="false">F68/H68</f>
        <v>0.43</v>
      </c>
      <c r="J68" s="8" t="n">
        <f aca="false">IFERROR(G68/F68,0)</f>
        <v>95.0812403100775</v>
      </c>
      <c r="K68" s="8" t="n">
        <f aca="false">G68/H68</f>
        <v>40.8849333333333</v>
      </c>
    </row>
    <row r="69" customFormat="false" ht="15" hidden="false" customHeight="true" outlineLevel="0" collapsed="false">
      <c r="A69" s="1" t="s">
        <v>124</v>
      </c>
      <c r="B69" s="1" t="s">
        <v>57</v>
      </c>
      <c r="C69" s="1" t="s">
        <v>116</v>
      </c>
      <c r="D69" s="1" t="n">
        <v>3</v>
      </c>
      <c r="E69" s="1" t="n">
        <v>10</v>
      </c>
      <c r="F69" s="1" t="n">
        <f aca="false">SUMIFS(Raw_Data!$H$2:$H$1461,Raw_Data!$A$2:$A$1461,A69)</f>
        <v>135</v>
      </c>
      <c r="G69" s="1" t="n">
        <f aca="false">SUMIFS(Raw_Data!$I$2:$I$1461,Raw_Data!$A$2:$A$1461,A69)</f>
        <v>13560.87</v>
      </c>
      <c r="H69" s="1" t="n">
        <v>300</v>
      </c>
      <c r="I69" s="7" t="n">
        <f aca="false">F69/H69</f>
        <v>0.45</v>
      </c>
      <c r="J69" s="8" t="n">
        <f aca="false">IFERROR(G69/F69,0)</f>
        <v>100.450888888889</v>
      </c>
      <c r="K69" s="8" t="n">
        <f aca="false">G69/H69</f>
        <v>45.2029</v>
      </c>
    </row>
    <row r="70" customFormat="false" ht="15" hidden="false" customHeight="true" outlineLevel="0" collapsed="false">
      <c r="A70" s="1" t="s">
        <v>125</v>
      </c>
      <c r="B70" s="1" t="s">
        <v>59</v>
      </c>
      <c r="C70" s="1" t="s">
        <v>116</v>
      </c>
      <c r="D70" s="1" t="n">
        <v>3</v>
      </c>
      <c r="E70" s="1" t="n">
        <v>11</v>
      </c>
      <c r="F70" s="1" t="n">
        <f aca="false">SUMIFS(Raw_Data!$H$2:$H$1461,Raw_Data!$A$2:$A$1461,A70)</f>
        <v>157</v>
      </c>
      <c r="G70" s="1" t="n">
        <f aca="false">SUMIFS(Raw_Data!$I$2:$I$1461,Raw_Data!$A$2:$A$1461,A70)</f>
        <v>16189.09</v>
      </c>
      <c r="H70" s="1" t="n">
        <v>300</v>
      </c>
      <c r="I70" s="7" t="n">
        <f aca="false">F70/H70</f>
        <v>0.523333333333333</v>
      </c>
      <c r="J70" s="8" t="n">
        <f aca="false">IFERROR(G70/F70,0)</f>
        <v>103.115222929936</v>
      </c>
      <c r="K70" s="8" t="n">
        <f aca="false">G70/H70</f>
        <v>53.9636333333333</v>
      </c>
    </row>
    <row r="71" customFormat="false" ht="15" hidden="false" customHeight="true" outlineLevel="0" collapsed="false">
      <c r="A71" s="1" t="s">
        <v>126</v>
      </c>
      <c r="B71" s="1" t="s">
        <v>61</v>
      </c>
      <c r="C71" s="1" t="s">
        <v>116</v>
      </c>
      <c r="D71" s="1" t="n">
        <v>3</v>
      </c>
      <c r="E71" s="1" t="n">
        <v>11</v>
      </c>
      <c r="F71" s="1" t="n">
        <f aca="false">SUMIFS(Raw_Data!$H$2:$H$1461,Raw_Data!$A$2:$A$1461,A71)</f>
        <v>187</v>
      </c>
      <c r="G71" s="1" t="n">
        <f aca="false">SUMIFS(Raw_Data!$I$2:$I$1461,Raw_Data!$A$2:$A$1461,A71)</f>
        <v>20370.8</v>
      </c>
      <c r="H71" s="1" t="n">
        <v>300</v>
      </c>
      <c r="I71" s="7" t="n">
        <f aca="false">F71/H71</f>
        <v>0.623333333333333</v>
      </c>
      <c r="J71" s="8" t="n">
        <f aca="false">IFERROR(G71/F71,0)</f>
        <v>108.934759358289</v>
      </c>
      <c r="K71" s="8" t="n">
        <f aca="false">G71/H71</f>
        <v>67.9026666666667</v>
      </c>
    </row>
    <row r="72" customFormat="false" ht="15" hidden="false" customHeight="true" outlineLevel="0" collapsed="false">
      <c r="A72" s="1" t="s">
        <v>127</v>
      </c>
      <c r="B72" s="1" t="s">
        <v>41</v>
      </c>
      <c r="C72" s="1" t="s">
        <v>116</v>
      </c>
      <c r="D72" s="1" t="n">
        <v>3</v>
      </c>
      <c r="E72" s="1" t="n">
        <v>11</v>
      </c>
      <c r="F72" s="1" t="n">
        <f aca="false">SUMIFS(Raw_Data!$H$2:$H$1461,Raw_Data!$A$2:$A$1461,A72)</f>
        <v>178</v>
      </c>
      <c r="G72" s="1" t="n">
        <f aca="false">SUMIFS(Raw_Data!$I$2:$I$1461,Raw_Data!$A$2:$A$1461,A72)</f>
        <v>20588.78</v>
      </c>
      <c r="H72" s="1" t="n">
        <v>300</v>
      </c>
      <c r="I72" s="7" t="n">
        <f aca="false">F72/H72</f>
        <v>0.593333333333333</v>
      </c>
      <c r="J72" s="8" t="n">
        <f aca="false">IFERROR(G72/F72,0)</f>
        <v>115.667303370787</v>
      </c>
      <c r="K72" s="8" t="n">
        <f aca="false">G72/H72</f>
        <v>68.6292666666667</v>
      </c>
    </row>
    <row r="73" customFormat="false" ht="15" hidden="false" customHeight="true" outlineLevel="0" collapsed="false">
      <c r="A73" s="1" t="s">
        <v>128</v>
      </c>
      <c r="B73" s="1" t="s">
        <v>51</v>
      </c>
      <c r="C73" s="1" t="s">
        <v>116</v>
      </c>
      <c r="D73" s="1" t="n">
        <v>3</v>
      </c>
      <c r="E73" s="1" t="n">
        <v>11</v>
      </c>
      <c r="F73" s="1" t="n">
        <f aca="false">SUMIFS(Raw_Data!$H$2:$H$1461,Raw_Data!$A$2:$A$1461,A73)</f>
        <v>163</v>
      </c>
      <c r="G73" s="1" t="n">
        <f aca="false">SUMIFS(Raw_Data!$I$2:$I$1461,Raw_Data!$A$2:$A$1461,A73)</f>
        <v>17041.15</v>
      </c>
      <c r="H73" s="1" t="n">
        <v>300</v>
      </c>
      <c r="I73" s="7" t="n">
        <f aca="false">F73/H73</f>
        <v>0.543333333333333</v>
      </c>
      <c r="J73" s="8" t="n">
        <f aca="false">IFERROR(G73/F73,0)</f>
        <v>104.546932515337</v>
      </c>
      <c r="K73" s="8" t="n">
        <f aca="false">G73/H73</f>
        <v>56.8038333333333</v>
      </c>
    </row>
    <row r="74" customFormat="false" ht="15" hidden="false" customHeight="true" outlineLevel="0" collapsed="false">
      <c r="A74" s="1" t="s">
        <v>129</v>
      </c>
      <c r="B74" s="1" t="s">
        <v>53</v>
      </c>
      <c r="C74" s="1" t="s">
        <v>116</v>
      </c>
      <c r="D74" s="1" t="n">
        <v>3</v>
      </c>
      <c r="E74" s="1" t="n">
        <v>11</v>
      </c>
      <c r="F74" s="1" t="n">
        <f aca="false">SUMIFS(Raw_Data!$H$2:$H$1461,Raw_Data!$A$2:$A$1461,A74)</f>
        <v>178</v>
      </c>
      <c r="G74" s="1" t="n">
        <f aca="false">SUMIFS(Raw_Data!$I$2:$I$1461,Raw_Data!$A$2:$A$1461,A74)</f>
        <v>20293.5</v>
      </c>
      <c r="H74" s="1" t="n">
        <v>300</v>
      </c>
      <c r="I74" s="7" t="n">
        <f aca="false">F74/H74</f>
        <v>0.593333333333333</v>
      </c>
      <c r="J74" s="8" t="n">
        <f aca="false">IFERROR(G74/F74,0)</f>
        <v>114.008426966292</v>
      </c>
      <c r="K74" s="8" t="n">
        <f aca="false">G74/H74</f>
        <v>67.645</v>
      </c>
    </row>
    <row r="75" customFormat="false" ht="15" hidden="false" customHeight="true" outlineLevel="0" collapsed="false">
      <c r="A75" s="1" t="s">
        <v>130</v>
      </c>
      <c r="B75" s="1" t="s">
        <v>55</v>
      </c>
      <c r="C75" s="1" t="s">
        <v>116</v>
      </c>
      <c r="D75" s="1" t="n">
        <v>3</v>
      </c>
      <c r="E75" s="1" t="n">
        <v>11</v>
      </c>
      <c r="F75" s="1" t="n">
        <f aca="false">SUMIFS(Raw_Data!$H$2:$H$1461,Raw_Data!$A$2:$A$1461,A75)</f>
        <v>128</v>
      </c>
      <c r="G75" s="1" t="n">
        <f aca="false">SUMIFS(Raw_Data!$I$2:$I$1461,Raw_Data!$A$2:$A$1461,A75)</f>
        <v>12507.79</v>
      </c>
      <c r="H75" s="1" t="n">
        <v>300</v>
      </c>
      <c r="I75" s="7" t="n">
        <f aca="false">F75/H75</f>
        <v>0.426666666666667</v>
      </c>
      <c r="J75" s="8" t="n">
        <f aca="false">IFERROR(G75/F75,0)</f>
        <v>97.717109375</v>
      </c>
      <c r="K75" s="8" t="n">
        <f aca="false">G75/H75</f>
        <v>41.6926333333333</v>
      </c>
    </row>
    <row r="76" customFormat="false" ht="15" hidden="false" customHeight="true" outlineLevel="0" collapsed="false">
      <c r="A76" s="1" t="s">
        <v>131</v>
      </c>
      <c r="B76" s="1" t="s">
        <v>57</v>
      </c>
      <c r="C76" s="1" t="s">
        <v>116</v>
      </c>
      <c r="D76" s="1" t="n">
        <v>3</v>
      </c>
      <c r="E76" s="1" t="n">
        <v>11</v>
      </c>
      <c r="F76" s="1" t="n">
        <f aca="false">SUMIFS(Raw_Data!$H$2:$H$1461,Raw_Data!$A$2:$A$1461,A76)</f>
        <v>132</v>
      </c>
      <c r="G76" s="1" t="n">
        <f aca="false">SUMIFS(Raw_Data!$I$2:$I$1461,Raw_Data!$A$2:$A$1461,A76)</f>
        <v>13238.36</v>
      </c>
      <c r="H76" s="1" t="n">
        <v>300</v>
      </c>
      <c r="I76" s="7" t="n">
        <f aca="false">F76/H76</f>
        <v>0.44</v>
      </c>
      <c r="J76" s="8" t="n">
        <f aca="false">IFERROR(G76/F76,0)</f>
        <v>100.290606060606</v>
      </c>
      <c r="K76" s="8" t="n">
        <f aca="false">G76/H76</f>
        <v>44.1278666666667</v>
      </c>
    </row>
    <row r="77" customFormat="false" ht="15" hidden="false" customHeight="true" outlineLevel="0" collapsed="false">
      <c r="A77" s="1" t="s">
        <v>132</v>
      </c>
      <c r="B77" s="1" t="s">
        <v>59</v>
      </c>
      <c r="C77" s="1" t="s">
        <v>116</v>
      </c>
      <c r="D77" s="1" t="n">
        <v>3</v>
      </c>
      <c r="E77" s="1" t="n">
        <v>12</v>
      </c>
      <c r="F77" s="1" t="n">
        <f aca="false">SUMIFS(Raw_Data!$H$2:$H$1461,Raw_Data!$A$2:$A$1461,A77)</f>
        <v>184</v>
      </c>
      <c r="G77" s="1" t="n">
        <f aca="false">SUMIFS(Raw_Data!$I$2:$I$1461,Raw_Data!$A$2:$A$1461,A77)</f>
        <v>19694.44</v>
      </c>
      <c r="H77" s="1" t="n">
        <v>300</v>
      </c>
      <c r="I77" s="7" t="n">
        <f aca="false">F77/H77</f>
        <v>0.613333333333333</v>
      </c>
      <c r="J77" s="8" t="n">
        <f aca="false">IFERROR(G77/F77,0)</f>
        <v>107.035</v>
      </c>
      <c r="K77" s="8" t="n">
        <f aca="false">G77/H77</f>
        <v>65.6481333333333</v>
      </c>
    </row>
    <row r="78" customFormat="false" ht="15" hidden="false" customHeight="true" outlineLevel="0" collapsed="false">
      <c r="A78" s="1" t="s">
        <v>133</v>
      </c>
      <c r="B78" s="1" t="s">
        <v>61</v>
      </c>
      <c r="C78" s="1" t="s">
        <v>116</v>
      </c>
      <c r="D78" s="1" t="n">
        <v>3</v>
      </c>
      <c r="E78" s="1" t="n">
        <v>12</v>
      </c>
      <c r="F78" s="1" t="n">
        <f aca="false">SUMIFS(Raw_Data!$H$2:$H$1461,Raw_Data!$A$2:$A$1461,A78)</f>
        <v>169</v>
      </c>
      <c r="G78" s="1" t="n">
        <f aca="false">SUMIFS(Raw_Data!$I$2:$I$1461,Raw_Data!$A$2:$A$1461,A78)</f>
        <v>18721.69</v>
      </c>
      <c r="H78" s="1" t="n">
        <v>300</v>
      </c>
      <c r="I78" s="7" t="n">
        <f aca="false">F78/H78</f>
        <v>0.563333333333333</v>
      </c>
      <c r="J78" s="8" t="n">
        <f aca="false">IFERROR(G78/F78,0)</f>
        <v>110.779230769231</v>
      </c>
      <c r="K78" s="8" t="n">
        <f aca="false">G78/H78</f>
        <v>62.4056333333333</v>
      </c>
    </row>
    <row r="79" customFormat="false" ht="15" hidden="false" customHeight="true" outlineLevel="0" collapsed="false">
      <c r="A79" s="1" t="s">
        <v>134</v>
      </c>
      <c r="B79" s="1" t="s">
        <v>41</v>
      </c>
      <c r="C79" s="1" t="s">
        <v>116</v>
      </c>
      <c r="D79" s="1" t="n">
        <v>3</v>
      </c>
      <c r="E79" s="1" t="n">
        <v>12</v>
      </c>
      <c r="F79" s="1" t="n">
        <f aca="false">SUMIFS(Raw_Data!$H$2:$H$1461,Raw_Data!$A$2:$A$1461,A79)</f>
        <v>182</v>
      </c>
      <c r="G79" s="1" t="n">
        <f aca="false">SUMIFS(Raw_Data!$I$2:$I$1461,Raw_Data!$A$2:$A$1461,A79)</f>
        <v>20530.35</v>
      </c>
      <c r="H79" s="1" t="n">
        <v>300</v>
      </c>
      <c r="I79" s="7" t="n">
        <f aca="false">F79/H79</f>
        <v>0.606666666666667</v>
      </c>
      <c r="J79" s="8" t="n">
        <f aca="false">IFERROR(G79/F79,0)</f>
        <v>112.804120879121</v>
      </c>
      <c r="K79" s="8" t="n">
        <f aca="false">G79/H79</f>
        <v>68.4345</v>
      </c>
    </row>
    <row r="80" customFormat="false" ht="15" hidden="false" customHeight="true" outlineLevel="0" collapsed="false">
      <c r="A80" s="1" t="s">
        <v>135</v>
      </c>
      <c r="B80" s="1" t="s">
        <v>51</v>
      </c>
      <c r="C80" s="1" t="s">
        <v>116</v>
      </c>
      <c r="D80" s="1" t="n">
        <v>3</v>
      </c>
      <c r="E80" s="1" t="n">
        <v>12</v>
      </c>
      <c r="F80" s="1" t="n">
        <f aca="false">SUMIFS(Raw_Data!$H$2:$H$1461,Raw_Data!$A$2:$A$1461,A80)</f>
        <v>185</v>
      </c>
      <c r="G80" s="1" t="n">
        <f aca="false">SUMIFS(Raw_Data!$I$2:$I$1461,Raw_Data!$A$2:$A$1461,A80)</f>
        <v>20270.32</v>
      </c>
      <c r="H80" s="1" t="n">
        <v>300</v>
      </c>
      <c r="I80" s="7" t="n">
        <f aca="false">F80/H80</f>
        <v>0.616666666666667</v>
      </c>
      <c r="J80" s="8" t="n">
        <f aca="false">IFERROR(G80/F80,0)</f>
        <v>109.569297297297</v>
      </c>
      <c r="K80" s="8" t="n">
        <f aca="false">G80/H80</f>
        <v>67.5677333333333</v>
      </c>
    </row>
    <row r="81" customFormat="false" ht="15" hidden="false" customHeight="true" outlineLevel="0" collapsed="false">
      <c r="A81" s="1" t="s">
        <v>136</v>
      </c>
      <c r="B81" s="1" t="s">
        <v>53</v>
      </c>
      <c r="C81" s="1" t="s">
        <v>116</v>
      </c>
      <c r="D81" s="1" t="n">
        <v>3</v>
      </c>
      <c r="E81" s="1" t="n">
        <v>12</v>
      </c>
      <c r="F81" s="1" t="n">
        <f aca="false">SUMIFS(Raw_Data!$H$2:$H$1461,Raw_Data!$A$2:$A$1461,A81)</f>
        <v>173</v>
      </c>
      <c r="G81" s="1" t="n">
        <f aca="false">SUMIFS(Raw_Data!$I$2:$I$1461,Raw_Data!$A$2:$A$1461,A81)</f>
        <v>18130.12</v>
      </c>
      <c r="H81" s="1" t="n">
        <v>300</v>
      </c>
      <c r="I81" s="7" t="n">
        <f aca="false">F81/H81</f>
        <v>0.576666666666667</v>
      </c>
      <c r="J81" s="8" t="n">
        <f aca="false">IFERROR(G81/F81,0)</f>
        <v>104.79838150289</v>
      </c>
      <c r="K81" s="8" t="n">
        <f aca="false">G81/H81</f>
        <v>60.4337333333333</v>
      </c>
    </row>
    <row r="82" customFormat="false" ht="15" hidden="false" customHeight="true" outlineLevel="0" collapsed="false">
      <c r="A82" s="1" t="s">
        <v>137</v>
      </c>
      <c r="B82" s="1" t="s">
        <v>55</v>
      </c>
      <c r="C82" s="1" t="s">
        <v>116</v>
      </c>
      <c r="D82" s="1" t="n">
        <v>3</v>
      </c>
      <c r="E82" s="1" t="n">
        <v>12</v>
      </c>
      <c r="F82" s="1" t="n">
        <f aca="false">SUMIFS(Raw_Data!$H$2:$H$1461,Raw_Data!$A$2:$A$1461,A82)</f>
        <v>117</v>
      </c>
      <c r="G82" s="1" t="n">
        <f aca="false">SUMIFS(Raw_Data!$I$2:$I$1461,Raw_Data!$A$2:$A$1461,A82)</f>
        <v>11598.33</v>
      </c>
      <c r="H82" s="1" t="n">
        <v>300</v>
      </c>
      <c r="I82" s="7" t="n">
        <f aca="false">F82/H82</f>
        <v>0.39</v>
      </c>
      <c r="J82" s="8" t="n">
        <f aca="false">IFERROR(G82/F82,0)</f>
        <v>99.1310256410256</v>
      </c>
      <c r="K82" s="8" t="n">
        <f aca="false">G82/H82</f>
        <v>38.6611</v>
      </c>
    </row>
    <row r="83" customFormat="false" ht="15" hidden="false" customHeight="true" outlineLevel="0" collapsed="false">
      <c r="A83" s="1" t="s">
        <v>138</v>
      </c>
      <c r="B83" s="1" t="s">
        <v>57</v>
      </c>
      <c r="C83" s="1" t="s">
        <v>116</v>
      </c>
      <c r="D83" s="1" t="n">
        <v>3</v>
      </c>
      <c r="E83" s="1" t="n">
        <v>12</v>
      </c>
      <c r="F83" s="1" t="n">
        <f aca="false">SUMIFS(Raw_Data!$H$2:$H$1461,Raw_Data!$A$2:$A$1461,A83)</f>
        <v>146</v>
      </c>
      <c r="G83" s="1" t="n">
        <f aca="false">SUMIFS(Raw_Data!$I$2:$I$1461,Raw_Data!$A$2:$A$1461,A83)</f>
        <v>15150.93</v>
      </c>
      <c r="H83" s="1" t="n">
        <v>300</v>
      </c>
      <c r="I83" s="7" t="n">
        <f aca="false">F83/H83</f>
        <v>0.486666666666667</v>
      </c>
      <c r="J83" s="8" t="n">
        <f aca="false">IFERROR(G83/F83,0)</f>
        <v>103.773493150685</v>
      </c>
      <c r="K83" s="8" t="n">
        <f aca="false">G83/H83</f>
        <v>50.5031</v>
      </c>
    </row>
    <row r="84" customFormat="false" ht="15" hidden="false" customHeight="true" outlineLevel="0" collapsed="false">
      <c r="A84" s="1" t="s">
        <v>139</v>
      </c>
      <c r="B84" s="1" t="s">
        <v>59</v>
      </c>
      <c r="C84" s="1" t="s">
        <v>116</v>
      </c>
      <c r="D84" s="1" t="n">
        <v>3</v>
      </c>
      <c r="E84" s="1" t="n">
        <v>13</v>
      </c>
      <c r="F84" s="1" t="n">
        <f aca="false">SUMIFS(Raw_Data!$H$2:$H$1461,Raw_Data!$A$2:$A$1461,A84)</f>
        <v>176</v>
      </c>
      <c r="G84" s="1" t="n">
        <f aca="false">SUMIFS(Raw_Data!$I$2:$I$1461,Raw_Data!$A$2:$A$1461,A84)</f>
        <v>18882.03</v>
      </c>
      <c r="H84" s="1" t="n">
        <v>300</v>
      </c>
      <c r="I84" s="7" t="n">
        <f aca="false">F84/H84</f>
        <v>0.586666666666667</v>
      </c>
      <c r="J84" s="8" t="n">
        <f aca="false">IFERROR(G84/F84,0)</f>
        <v>107.284261363636</v>
      </c>
      <c r="K84" s="8" t="n">
        <f aca="false">G84/H84</f>
        <v>62.9401</v>
      </c>
    </row>
    <row r="85" customFormat="false" ht="15" hidden="false" customHeight="true" outlineLevel="0" collapsed="false">
      <c r="A85" s="1" t="s">
        <v>140</v>
      </c>
      <c r="B85" s="1" t="s">
        <v>61</v>
      </c>
      <c r="C85" s="1" t="s">
        <v>116</v>
      </c>
      <c r="D85" s="1" t="n">
        <v>3</v>
      </c>
      <c r="E85" s="1" t="n">
        <v>13</v>
      </c>
      <c r="F85" s="1" t="n">
        <f aca="false">SUMIFS(Raw_Data!$H$2:$H$1461,Raw_Data!$A$2:$A$1461,A85)</f>
        <v>167</v>
      </c>
      <c r="G85" s="1" t="n">
        <f aca="false">SUMIFS(Raw_Data!$I$2:$I$1461,Raw_Data!$A$2:$A$1461,A85)</f>
        <v>18081.12</v>
      </c>
      <c r="H85" s="1" t="n">
        <v>300</v>
      </c>
      <c r="I85" s="7" t="n">
        <f aca="false">F85/H85</f>
        <v>0.556666666666667</v>
      </c>
      <c r="J85" s="8" t="n">
        <f aca="false">IFERROR(G85/F85,0)</f>
        <v>108.270179640719</v>
      </c>
      <c r="K85" s="8" t="n">
        <f aca="false">G85/H85</f>
        <v>60.2704</v>
      </c>
    </row>
    <row r="86" customFormat="false" ht="15" hidden="false" customHeight="true" outlineLevel="0" collapsed="false">
      <c r="A86" s="1" t="s">
        <v>141</v>
      </c>
      <c r="B86" s="1" t="s">
        <v>41</v>
      </c>
      <c r="C86" s="1" t="s">
        <v>116</v>
      </c>
      <c r="D86" s="1" t="n">
        <v>3</v>
      </c>
      <c r="E86" s="1" t="n">
        <v>13</v>
      </c>
      <c r="F86" s="1" t="n">
        <f aca="false">SUMIFS(Raw_Data!$H$2:$H$1461,Raw_Data!$A$2:$A$1461,A86)</f>
        <v>171</v>
      </c>
      <c r="G86" s="1" t="n">
        <f aca="false">SUMIFS(Raw_Data!$I$2:$I$1461,Raw_Data!$A$2:$A$1461,A86)</f>
        <v>18659.82</v>
      </c>
      <c r="H86" s="1" t="n">
        <v>300</v>
      </c>
      <c r="I86" s="7" t="n">
        <f aca="false">F86/H86</f>
        <v>0.57</v>
      </c>
      <c r="J86" s="8" t="n">
        <f aca="false">IFERROR(G86/F86,0)</f>
        <v>109.121754385965</v>
      </c>
      <c r="K86" s="8" t="n">
        <f aca="false">G86/H86</f>
        <v>62.1994</v>
      </c>
    </row>
    <row r="87" customFormat="false" ht="15" hidden="false" customHeight="true" outlineLevel="0" collapsed="false">
      <c r="A87" s="1" t="s">
        <v>142</v>
      </c>
      <c r="B87" s="1" t="s">
        <v>51</v>
      </c>
      <c r="C87" s="1" t="s">
        <v>116</v>
      </c>
      <c r="D87" s="1" t="n">
        <v>3</v>
      </c>
      <c r="E87" s="1" t="n">
        <v>13</v>
      </c>
      <c r="F87" s="1" t="n">
        <f aca="false">SUMIFS(Raw_Data!$H$2:$H$1461,Raw_Data!$A$2:$A$1461,A87)</f>
        <v>177</v>
      </c>
      <c r="G87" s="1" t="n">
        <f aca="false">SUMIFS(Raw_Data!$I$2:$I$1461,Raw_Data!$A$2:$A$1461,A87)</f>
        <v>18587.19</v>
      </c>
      <c r="H87" s="1" t="n">
        <v>300</v>
      </c>
      <c r="I87" s="7" t="n">
        <f aca="false">F87/H87</f>
        <v>0.59</v>
      </c>
      <c r="J87" s="8" t="n">
        <f aca="false">IFERROR(G87/F87,0)</f>
        <v>105.012372881356</v>
      </c>
      <c r="K87" s="8" t="n">
        <f aca="false">G87/H87</f>
        <v>61.9573</v>
      </c>
    </row>
    <row r="88" customFormat="false" ht="15" hidden="false" customHeight="true" outlineLevel="0" collapsed="false">
      <c r="A88" s="1" t="s">
        <v>143</v>
      </c>
      <c r="B88" s="1" t="s">
        <v>53</v>
      </c>
      <c r="C88" s="1" t="s">
        <v>116</v>
      </c>
      <c r="D88" s="1" t="n">
        <v>3</v>
      </c>
      <c r="E88" s="1" t="n">
        <v>13</v>
      </c>
      <c r="F88" s="1" t="n">
        <f aca="false">SUMIFS(Raw_Data!$H$2:$H$1461,Raw_Data!$A$2:$A$1461,A88)</f>
        <v>181</v>
      </c>
      <c r="G88" s="1" t="n">
        <f aca="false">SUMIFS(Raw_Data!$I$2:$I$1461,Raw_Data!$A$2:$A$1461,A88)</f>
        <v>20206.09</v>
      </c>
      <c r="H88" s="1" t="n">
        <v>300</v>
      </c>
      <c r="I88" s="7" t="n">
        <f aca="false">F88/H88</f>
        <v>0.603333333333333</v>
      </c>
      <c r="J88" s="8" t="n">
        <f aca="false">IFERROR(G88/F88,0)</f>
        <v>111.635856353591</v>
      </c>
      <c r="K88" s="8" t="n">
        <f aca="false">G88/H88</f>
        <v>67.3536333333333</v>
      </c>
    </row>
    <row r="89" customFormat="false" ht="15" hidden="false" customHeight="true" outlineLevel="0" collapsed="false">
      <c r="A89" s="1" t="s">
        <v>144</v>
      </c>
      <c r="B89" s="1" t="s">
        <v>55</v>
      </c>
      <c r="C89" s="1" t="s">
        <v>116</v>
      </c>
      <c r="D89" s="1" t="n">
        <v>3</v>
      </c>
      <c r="E89" s="1" t="n">
        <v>13</v>
      </c>
      <c r="F89" s="1" t="n">
        <f aca="false">SUMIFS(Raw_Data!$H$2:$H$1461,Raw_Data!$A$2:$A$1461,A89)</f>
        <v>131</v>
      </c>
      <c r="G89" s="1" t="n">
        <f aca="false">SUMIFS(Raw_Data!$I$2:$I$1461,Raw_Data!$A$2:$A$1461,A89)</f>
        <v>12887.38</v>
      </c>
      <c r="H89" s="1" t="n">
        <v>300</v>
      </c>
      <c r="I89" s="7" t="n">
        <f aca="false">F89/H89</f>
        <v>0.436666666666667</v>
      </c>
      <c r="J89" s="8" t="n">
        <f aca="false">IFERROR(G89/F89,0)</f>
        <v>98.3769465648855</v>
      </c>
      <c r="K89" s="8" t="n">
        <f aca="false">G89/H89</f>
        <v>42.9579333333333</v>
      </c>
    </row>
    <row r="90" customFormat="false" ht="15" hidden="false" customHeight="true" outlineLevel="0" collapsed="false">
      <c r="A90" s="1" t="s">
        <v>145</v>
      </c>
      <c r="B90" s="1" t="s">
        <v>57</v>
      </c>
      <c r="C90" s="1" t="s">
        <v>116</v>
      </c>
      <c r="D90" s="1" t="n">
        <v>3</v>
      </c>
      <c r="E90" s="1" t="n">
        <v>13</v>
      </c>
      <c r="F90" s="1" t="n">
        <f aca="false">SUMIFS(Raw_Data!$H$2:$H$1461,Raw_Data!$A$2:$A$1461,A90)</f>
        <v>117</v>
      </c>
      <c r="G90" s="1" t="n">
        <f aca="false">SUMIFS(Raw_Data!$I$2:$I$1461,Raw_Data!$A$2:$A$1461,A90)</f>
        <v>12498.01</v>
      </c>
      <c r="H90" s="1" t="n">
        <v>300</v>
      </c>
      <c r="I90" s="7" t="n">
        <f aca="false">F90/H90</f>
        <v>0.39</v>
      </c>
      <c r="J90" s="8" t="n">
        <f aca="false">IFERROR(G90/F90,0)</f>
        <v>106.820598290598</v>
      </c>
      <c r="K90" s="8" t="n">
        <f aca="false">G90/H90</f>
        <v>41.6600333333333</v>
      </c>
    </row>
    <row r="91" customFormat="false" ht="15" hidden="false" customHeight="true" outlineLevel="0" collapsed="false">
      <c r="A91" s="1" t="s">
        <v>146</v>
      </c>
      <c r="B91" s="1" t="s">
        <v>59</v>
      </c>
      <c r="C91" s="1" t="s">
        <v>116</v>
      </c>
      <c r="D91" s="1" t="n">
        <v>3</v>
      </c>
      <c r="E91" s="1" t="n">
        <v>14</v>
      </c>
      <c r="F91" s="1" t="n">
        <f aca="false">SUMIFS(Raw_Data!$H$2:$H$1461,Raw_Data!$A$2:$A$1461,A91)</f>
        <v>171</v>
      </c>
      <c r="G91" s="1" t="n">
        <f aca="false">SUMIFS(Raw_Data!$I$2:$I$1461,Raw_Data!$A$2:$A$1461,A91)</f>
        <v>18915.96</v>
      </c>
      <c r="H91" s="1" t="n">
        <v>300</v>
      </c>
      <c r="I91" s="7" t="n">
        <f aca="false">F91/H91</f>
        <v>0.57</v>
      </c>
      <c r="J91" s="8" t="n">
        <f aca="false">IFERROR(G91/F91,0)</f>
        <v>110.619649122807</v>
      </c>
      <c r="K91" s="8" t="n">
        <f aca="false">G91/H91</f>
        <v>63.0532</v>
      </c>
    </row>
    <row r="92" customFormat="false" ht="15" hidden="false" customHeight="true" outlineLevel="0" collapsed="false">
      <c r="A92" s="1" t="s">
        <v>147</v>
      </c>
      <c r="B92" s="1" t="s">
        <v>61</v>
      </c>
      <c r="C92" s="1" t="s">
        <v>148</v>
      </c>
      <c r="D92" s="1" t="n">
        <v>4</v>
      </c>
      <c r="E92" s="1" t="n">
        <v>14</v>
      </c>
      <c r="F92" s="1" t="n">
        <f aca="false">SUMIFS(Raw_Data!$H$2:$H$1461,Raw_Data!$A$2:$A$1461,A92)</f>
        <v>174</v>
      </c>
      <c r="G92" s="1" t="n">
        <f aca="false">SUMIFS(Raw_Data!$I$2:$I$1461,Raw_Data!$A$2:$A$1461,A92)</f>
        <v>17716.86</v>
      </c>
      <c r="H92" s="1" t="n">
        <v>300</v>
      </c>
      <c r="I92" s="7" t="n">
        <f aca="false">F92/H92</f>
        <v>0.58</v>
      </c>
      <c r="J92" s="8" t="n">
        <f aca="false">IFERROR(G92/F92,0)</f>
        <v>101.821034482759</v>
      </c>
      <c r="K92" s="8" t="n">
        <f aca="false">G92/H92</f>
        <v>59.0562</v>
      </c>
    </row>
    <row r="93" customFormat="false" ht="15" hidden="false" customHeight="true" outlineLevel="0" collapsed="false">
      <c r="A93" s="1" t="s">
        <v>149</v>
      </c>
      <c r="B93" s="1" t="s">
        <v>41</v>
      </c>
      <c r="C93" s="1" t="s">
        <v>148</v>
      </c>
      <c r="D93" s="1" t="n">
        <v>4</v>
      </c>
      <c r="E93" s="1" t="n">
        <v>14</v>
      </c>
      <c r="F93" s="1" t="n">
        <f aca="false">SUMIFS(Raw_Data!$H$2:$H$1461,Raw_Data!$A$2:$A$1461,A93)</f>
        <v>172</v>
      </c>
      <c r="G93" s="1" t="n">
        <f aca="false">SUMIFS(Raw_Data!$I$2:$I$1461,Raw_Data!$A$2:$A$1461,A93)</f>
        <v>17601.57</v>
      </c>
      <c r="H93" s="1" t="n">
        <v>300</v>
      </c>
      <c r="I93" s="7" t="n">
        <f aca="false">F93/H93</f>
        <v>0.573333333333333</v>
      </c>
      <c r="J93" s="8" t="n">
        <f aca="false">IFERROR(G93/F93,0)</f>
        <v>102.334709302326</v>
      </c>
      <c r="K93" s="8" t="n">
        <f aca="false">G93/H93</f>
        <v>58.6719</v>
      </c>
    </row>
    <row r="94" customFormat="false" ht="15" hidden="false" customHeight="true" outlineLevel="0" collapsed="false">
      <c r="A94" s="1" t="s">
        <v>150</v>
      </c>
      <c r="B94" s="1" t="s">
        <v>51</v>
      </c>
      <c r="C94" s="1" t="s">
        <v>148</v>
      </c>
      <c r="D94" s="1" t="n">
        <v>4</v>
      </c>
      <c r="E94" s="1" t="n">
        <v>14</v>
      </c>
      <c r="F94" s="1" t="n">
        <f aca="false">SUMIFS(Raw_Data!$H$2:$H$1461,Raw_Data!$A$2:$A$1461,A94)</f>
        <v>171</v>
      </c>
      <c r="G94" s="1" t="n">
        <f aca="false">SUMIFS(Raw_Data!$I$2:$I$1461,Raw_Data!$A$2:$A$1461,A94)</f>
        <v>19193.12</v>
      </c>
      <c r="H94" s="1" t="n">
        <v>300</v>
      </c>
      <c r="I94" s="7" t="n">
        <f aca="false">F94/H94</f>
        <v>0.57</v>
      </c>
      <c r="J94" s="8" t="n">
        <f aca="false">IFERROR(G94/F94,0)</f>
        <v>112.240467836257</v>
      </c>
      <c r="K94" s="8" t="n">
        <f aca="false">G94/H94</f>
        <v>63.9770666666667</v>
      </c>
    </row>
    <row r="95" customFormat="false" ht="15" hidden="false" customHeight="true" outlineLevel="0" collapsed="false">
      <c r="A95" s="1" t="s">
        <v>151</v>
      </c>
      <c r="B95" s="1" t="s">
        <v>53</v>
      </c>
      <c r="C95" s="1" t="s">
        <v>148</v>
      </c>
      <c r="D95" s="1" t="n">
        <v>4</v>
      </c>
      <c r="E95" s="1" t="n">
        <v>14</v>
      </c>
      <c r="F95" s="1" t="n">
        <f aca="false">SUMIFS(Raw_Data!$H$2:$H$1461,Raw_Data!$A$2:$A$1461,A95)</f>
        <v>173</v>
      </c>
      <c r="G95" s="1" t="n">
        <f aca="false">SUMIFS(Raw_Data!$I$2:$I$1461,Raw_Data!$A$2:$A$1461,A95)</f>
        <v>17734.18</v>
      </c>
      <c r="H95" s="1" t="n">
        <v>300</v>
      </c>
      <c r="I95" s="7" t="n">
        <f aca="false">F95/H95</f>
        <v>0.576666666666667</v>
      </c>
      <c r="J95" s="8" t="n">
        <f aca="false">IFERROR(G95/F95,0)</f>
        <v>102.509710982659</v>
      </c>
      <c r="K95" s="8" t="n">
        <f aca="false">G95/H95</f>
        <v>59.1139333333333</v>
      </c>
    </row>
    <row r="96" customFormat="false" ht="15" hidden="false" customHeight="true" outlineLevel="0" collapsed="false">
      <c r="A96" s="1" t="s">
        <v>152</v>
      </c>
      <c r="B96" s="1" t="s">
        <v>55</v>
      </c>
      <c r="C96" s="1" t="s">
        <v>148</v>
      </c>
      <c r="D96" s="1" t="n">
        <v>4</v>
      </c>
      <c r="E96" s="1" t="n">
        <v>14</v>
      </c>
      <c r="F96" s="1" t="n">
        <f aca="false">SUMIFS(Raw_Data!$H$2:$H$1461,Raw_Data!$A$2:$A$1461,A96)</f>
        <v>117</v>
      </c>
      <c r="G96" s="1" t="n">
        <f aca="false">SUMIFS(Raw_Data!$I$2:$I$1461,Raw_Data!$A$2:$A$1461,A96)</f>
        <v>12827.72</v>
      </c>
      <c r="H96" s="1" t="n">
        <v>300</v>
      </c>
      <c r="I96" s="7" t="n">
        <f aca="false">F96/H96</f>
        <v>0.39</v>
      </c>
      <c r="J96" s="8" t="n">
        <f aca="false">IFERROR(G96/F96,0)</f>
        <v>109.638632478632</v>
      </c>
      <c r="K96" s="8" t="n">
        <f aca="false">G96/H96</f>
        <v>42.7590666666667</v>
      </c>
    </row>
    <row r="97" customFormat="false" ht="15" hidden="false" customHeight="true" outlineLevel="0" collapsed="false">
      <c r="A97" s="1" t="s">
        <v>153</v>
      </c>
      <c r="B97" s="1" t="s">
        <v>57</v>
      </c>
      <c r="C97" s="1" t="s">
        <v>148</v>
      </c>
      <c r="D97" s="1" t="n">
        <v>4</v>
      </c>
      <c r="E97" s="1" t="n">
        <v>14</v>
      </c>
      <c r="F97" s="1" t="n">
        <f aca="false">SUMIFS(Raw_Data!$H$2:$H$1461,Raw_Data!$A$2:$A$1461,A97)</f>
        <v>140</v>
      </c>
      <c r="G97" s="1" t="n">
        <f aca="false">SUMIFS(Raw_Data!$I$2:$I$1461,Raw_Data!$A$2:$A$1461,A97)</f>
        <v>14356.45</v>
      </c>
      <c r="H97" s="1" t="n">
        <v>300</v>
      </c>
      <c r="I97" s="7" t="n">
        <f aca="false">F97/H97</f>
        <v>0.466666666666667</v>
      </c>
      <c r="J97" s="8" t="n">
        <f aca="false">IFERROR(G97/F97,0)</f>
        <v>102.546071428571</v>
      </c>
      <c r="K97" s="8" t="n">
        <f aca="false">G97/H97</f>
        <v>47.8548333333333</v>
      </c>
    </row>
    <row r="98" customFormat="false" ht="15" hidden="false" customHeight="true" outlineLevel="0" collapsed="false">
      <c r="A98" s="1" t="s">
        <v>154</v>
      </c>
      <c r="B98" s="1" t="s">
        <v>59</v>
      </c>
      <c r="C98" s="1" t="s">
        <v>148</v>
      </c>
      <c r="D98" s="1" t="n">
        <v>4</v>
      </c>
      <c r="E98" s="1" t="n">
        <v>15</v>
      </c>
      <c r="F98" s="1" t="n">
        <f aca="false">SUMIFS(Raw_Data!$H$2:$H$1461,Raw_Data!$A$2:$A$1461,A98)</f>
        <v>173</v>
      </c>
      <c r="G98" s="1" t="n">
        <f aca="false">SUMIFS(Raw_Data!$I$2:$I$1461,Raw_Data!$A$2:$A$1461,A98)</f>
        <v>19512.51</v>
      </c>
      <c r="H98" s="1" t="n">
        <v>300</v>
      </c>
      <c r="I98" s="7" t="n">
        <f aca="false">F98/H98</f>
        <v>0.576666666666667</v>
      </c>
      <c r="J98" s="8" t="n">
        <f aca="false">IFERROR(G98/F98,0)</f>
        <v>112.789075144509</v>
      </c>
      <c r="K98" s="8" t="n">
        <f aca="false">G98/H98</f>
        <v>65.0417</v>
      </c>
    </row>
    <row r="99" customFormat="false" ht="15" hidden="false" customHeight="true" outlineLevel="0" collapsed="false">
      <c r="A99" s="1" t="s">
        <v>155</v>
      </c>
      <c r="B99" s="1" t="s">
        <v>61</v>
      </c>
      <c r="C99" s="1" t="s">
        <v>148</v>
      </c>
      <c r="D99" s="1" t="n">
        <v>4</v>
      </c>
      <c r="E99" s="1" t="n">
        <v>15</v>
      </c>
      <c r="F99" s="1" t="n">
        <f aca="false">SUMIFS(Raw_Data!$H$2:$H$1461,Raw_Data!$A$2:$A$1461,A99)</f>
        <v>168</v>
      </c>
      <c r="G99" s="1" t="n">
        <f aca="false">SUMIFS(Raw_Data!$I$2:$I$1461,Raw_Data!$A$2:$A$1461,A99)</f>
        <v>17836.39</v>
      </c>
      <c r="H99" s="1" t="n">
        <v>300</v>
      </c>
      <c r="I99" s="7" t="n">
        <f aca="false">F99/H99</f>
        <v>0.56</v>
      </c>
      <c r="J99" s="8" t="n">
        <f aca="false">IFERROR(G99/F99,0)</f>
        <v>106.168988095238</v>
      </c>
      <c r="K99" s="8" t="n">
        <f aca="false">G99/H99</f>
        <v>59.4546333333333</v>
      </c>
    </row>
    <row r="100" customFormat="false" ht="15" hidden="false" customHeight="true" outlineLevel="0" collapsed="false">
      <c r="A100" s="1" t="s">
        <v>156</v>
      </c>
      <c r="B100" s="1" t="s">
        <v>41</v>
      </c>
      <c r="C100" s="1" t="s">
        <v>148</v>
      </c>
      <c r="D100" s="1" t="n">
        <v>4</v>
      </c>
      <c r="E100" s="1" t="n">
        <v>15</v>
      </c>
      <c r="F100" s="1" t="n">
        <f aca="false">SUMIFS(Raw_Data!$H$2:$H$1461,Raw_Data!$A$2:$A$1461,A100)</f>
        <v>181</v>
      </c>
      <c r="G100" s="1" t="n">
        <f aca="false">SUMIFS(Raw_Data!$I$2:$I$1461,Raw_Data!$A$2:$A$1461,A100)</f>
        <v>20129.59</v>
      </c>
      <c r="H100" s="1" t="n">
        <v>300</v>
      </c>
      <c r="I100" s="7" t="n">
        <f aca="false">F100/H100</f>
        <v>0.603333333333333</v>
      </c>
      <c r="J100" s="8" t="n">
        <f aca="false">IFERROR(G100/F100,0)</f>
        <v>111.21320441989</v>
      </c>
      <c r="K100" s="8" t="n">
        <f aca="false">G100/H100</f>
        <v>67.0986333333333</v>
      </c>
    </row>
    <row r="101" customFormat="false" ht="15" hidden="false" customHeight="true" outlineLevel="0" collapsed="false">
      <c r="A101" s="1" t="s">
        <v>157</v>
      </c>
      <c r="B101" s="1" t="s">
        <v>51</v>
      </c>
      <c r="C101" s="1" t="s">
        <v>148</v>
      </c>
      <c r="D101" s="1" t="n">
        <v>4</v>
      </c>
      <c r="E101" s="1" t="n">
        <v>15</v>
      </c>
      <c r="F101" s="1" t="n">
        <f aca="false">SUMIFS(Raw_Data!$H$2:$H$1461,Raw_Data!$A$2:$A$1461,A101)</f>
        <v>173</v>
      </c>
      <c r="G101" s="1" t="n">
        <f aca="false">SUMIFS(Raw_Data!$I$2:$I$1461,Raw_Data!$A$2:$A$1461,A101)</f>
        <v>18032.22</v>
      </c>
      <c r="H101" s="1" t="n">
        <v>300</v>
      </c>
      <c r="I101" s="7" t="n">
        <f aca="false">F101/H101</f>
        <v>0.576666666666667</v>
      </c>
      <c r="J101" s="8" t="n">
        <f aca="false">IFERROR(G101/F101,0)</f>
        <v>104.232485549133</v>
      </c>
      <c r="K101" s="8" t="n">
        <f aca="false">G101/H101</f>
        <v>60.1074</v>
      </c>
    </row>
    <row r="102" customFormat="false" ht="15" hidden="false" customHeight="true" outlineLevel="0" collapsed="false">
      <c r="A102" s="1" t="s">
        <v>158</v>
      </c>
      <c r="B102" s="1" t="s">
        <v>53</v>
      </c>
      <c r="C102" s="1" t="s">
        <v>148</v>
      </c>
      <c r="D102" s="1" t="n">
        <v>4</v>
      </c>
      <c r="E102" s="1" t="n">
        <v>15</v>
      </c>
      <c r="F102" s="1" t="n">
        <f aca="false">SUMIFS(Raw_Data!$H$2:$H$1461,Raw_Data!$A$2:$A$1461,A102)</f>
        <v>181</v>
      </c>
      <c r="G102" s="1" t="n">
        <f aca="false">SUMIFS(Raw_Data!$I$2:$I$1461,Raw_Data!$A$2:$A$1461,A102)</f>
        <v>19024.03</v>
      </c>
      <c r="H102" s="1" t="n">
        <v>300</v>
      </c>
      <c r="I102" s="7" t="n">
        <f aca="false">F102/H102</f>
        <v>0.603333333333333</v>
      </c>
      <c r="J102" s="8" t="n">
        <f aca="false">IFERROR(G102/F102,0)</f>
        <v>105.105138121547</v>
      </c>
      <c r="K102" s="8" t="n">
        <f aca="false">G102/H102</f>
        <v>63.4134333333333</v>
      </c>
    </row>
    <row r="103" customFormat="false" ht="15" hidden="false" customHeight="true" outlineLevel="0" collapsed="false">
      <c r="A103" s="1" t="s">
        <v>159</v>
      </c>
      <c r="B103" s="1" t="s">
        <v>55</v>
      </c>
      <c r="C103" s="1" t="s">
        <v>148</v>
      </c>
      <c r="D103" s="1" t="n">
        <v>4</v>
      </c>
      <c r="E103" s="1" t="n">
        <v>15</v>
      </c>
      <c r="F103" s="1" t="n">
        <f aca="false">SUMIFS(Raw_Data!$H$2:$H$1461,Raw_Data!$A$2:$A$1461,A103)</f>
        <v>133</v>
      </c>
      <c r="G103" s="1" t="n">
        <f aca="false">SUMIFS(Raw_Data!$I$2:$I$1461,Raw_Data!$A$2:$A$1461,A103)</f>
        <v>12757.59</v>
      </c>
      <c r="H103" s="1" t="n">
        <v>300</v>
      </c>
      <c r="I103" s="7" t="n">
        <f aca="false">F103/H103</f>
        <v>0.443333333333333</v>
      </c>
      <c r="J103" s="8" t="n">
        <f aca="false">IFERROR(G103/F103,0)</f>
        <v>95.9217293233083</v>
      </c>
      <c r="K103" s="8" t="n">
        <f aca="false">G103/H103</f>
        <v>42.5253</v>
      </c>
    </row>
    <row r="104" customFormat="false" ht="15" hidden="false" customHeight="true" outlineLevel="0" collapsed="false">
      <c r="A104" s="1" t="s">
        <v>160</v>
      </c>
      <c r="B104" s="1" t="s">
        <v>57</v>
      </c>
      <c r="C104" s="1" t="s">
        <v>148</v>
      </c>
      <c r="D104" s="1" t="n">
        <v>4</v>
      </c>
      <c r="E104" s="1" t="n">
        <v>15</v>
      </c>
      <c r="F104" s="1" t="n">
        <f aca="false">SUMIFS(Raw_Data!$H$2:$H$1461,Raw_Data!$A$2:$A$1461,A104)</f>
        <v>133</v>
      </c>
      <c r="G104" s="1" t="n">
        <f aca="false">SUMIFS(Raw_Data!$I$2:$I$1461,Raw_Data!$A$2:$A$1461,A104)</f>
        <v>13785.59</v>
      </c>
      <c r="H104" s="1" t="n">
        <v>300</v>
      </c>
      <c r="I104" s="7" t="n">
        <f aca="false">F104/H104</f>
        <v>0.443333333333333</v>
      </c>
      <c r="J104" s="8" t="n">
        <f aca="false">IFERROR(G104/F104,0)</f>
        <v>103.651052631579</v>
      </c>
      <c r="K104" s="8" t="n">
        <f aca="false">G104/H104</f>
        <v>45.9519666666667</v>
      </c>
    </row>
    <row r="105" customFormat="false" ht="15" hidden="false" customHeight="true" outlineLevel="0" collapsed="false">
      <c r="A105" s="1" t="s">
        <v>161</v>
      </c>
      <c r="B105" s="1" t="s">
        <v>59</v>
      </c>
      <c r="C105" s="1" t="s">
        <v>148</v>
      </c>
      <c r="D105" s="1" t="n">
        <v>4</v>
      </c>
      <c r="E105" s="1" t="n">
        <v>16</v>
      </c>
      <c r="F105" s="1" t="n">
        <f aca="false">SUMIFS(Raw_Data!$H$2:$H$1461,Raw_Data!$A$2:$A$1461,A105)</f>
        <v>167</v>
      </c>
      <c r="G105" s="1" t="n">
        <f aca="false">SUMIFS(Raw_Data!$I$2:$I$1461,Raw_Data!$A$2:$A$1461,A105)</f>
        <v>18726.01</v>
      </c>
      <c r="H105" s="1" t="n">
        <v>300</v>
      </c>
      <c r="I105" s="7" t="n">
        <f aca="false">F105/H105</f>
        <v>0.556666666666667</v>
      </c>
      <c r="J105" s="8" t="n">
        <f aca="false">IFERROR(G105/F105,0)</f>
        <v>112.131796407186</v>
      </c>
      <c r="K105" s="8" t="n">
        <f aca="false">G105/H105</f>
        <v>62.4200333333333</v>
      </c>
    </row>
    <row r="106" customFormat="false" ht="15" hidden="false" customHeight="true" outlineLevel="0" collapsed="false">
      <c r="A106" s="1" t="s">
        <v>162</v>
      </c>
      <c r="B106" s="1" t="s">
        <v>61</v>
      </c>
      <c r="C106" s="1" t="s">
        <v>148</v>
      </c>
      <c r="D106" s="1" t="n">
        <v>4</v>
      </c>
      <c r="E106" s="1" t="n">
        <v>16</v>
      </c>
      <c r="F106" s="1" t="n">
        <f aca="false">SUMIFS(Raw_Data!$H$2:$H$1461,Raw_Data!$A$2:$A$1461,A106)</f>
        <v>171</v>
      </c>
      <c r="G106" s="1" t="n">
        <f aca="false">SUMIFS(Raw_Data!$I$2:$I$1461,Raw_Data!$A$2:$A$1461,A106)</f>
        <v>17576.74</v>
      </c>
      <c r="H106" s="1" t="n">
        <v>300</v>
      </c>
      <c r="I106" s="7" t="n">
        <f aca="false">F106/H106</f>
        <v>0.57</v>
      </c>
      <c r="J106" s="8" t="n">
        <f aca="false">IFERROR(G106/F106,0)</f>
        <v>102.787953216374</v>
      </c>
      <c r="K106" s="8" t="n">
        <f aca="false">G106/H106</f>
        <v>58.5891333333333</v>
      </c>
    </row>
    <row r="107" customFormat="false" ht="15" hidden="false" customHeight="true" outlineLevel="0" collapsed="false">
      <c r="A107" s="1" t="s">
        <v>163</v>
      </c>
      <c r="B107" s="1" t="s">
        <v>41</v>
      </c>
      <c r="C107" s="1" t="s">
        <v>148</v>
      </c>
      <c r="D107" s="1" t="n">
        <v>4</v>
      </c>
      <c r="E107" s="1" t="n">
        <v>16</v>
      </c>
      <c r="F107" s="1" t="n">
        <f aca="false">SUMIFS(Raw_Data!$H$2:$H$1461,Raw_Data!$A$2:$A$1461,A107)</f>
        <v>172</v>
      </c>
      <c r="G107" s="1" t="n">
        <f aca="false">SUMIFS(Raw_Data!$I$2:$I$1461,Raw_Data!$A$2:$A$1461,A107)</f>
        <v>19512.05</v>
      </c>
      <c r="H107" s="1" t="n">
        <v>300</v>
      </c>
      <c r="I107" s="7" t="n">
        <f aca="false">F107/H107</f>
        <v>0.573333333333333</v>
      </c>
      <c r="J107" s="8" t="n">
        <f aca="false">IFERROR(G107/F107,0)</f>
        <v>113.442151162791</v>
      </c>
      <c r="K107" s="8" t="n">
        <f aca="false">G107/H107</f>
        <v>65.0401666666667</v>
      </c>
    </row>
    <row r="108" customFormat="false" ht="15" hidden="false" customHeight="true" outlineLevel="0" collapsed="false">
      <c r="A108" s="1" t="s">
        <v>164</v>
      </c>
      <c r="B108" s="1" t="s">
        <v>51</v>
      </c>
      <c r="C108" s="1" t="s">
        <v>148</v>
      </c>
      <c r="D108" s="1" t="n">
        <v>4</v>
      </c>
      <c r="E108" s="1" t="n">
        <v>16</v>
      </c>
      <c r="F108" s="1" t="n">
        <f aca="false">SUMIFS(Raw_Data!$H$2:$H$1461,Raw_Data!$A$2:$A$1461,A108)</f>
        <v>169</v>
      </c>
      <c r="G108" s="1" t="n">
        <f aca="false">SUMIFS(Raw_Data!$I$2:$I$1461,Raw_Data!$A$2:$A$1461,A108)</f>
        <v>17788.07</v>
      </c>
      <c r="H108" s="1" t="n">
        <v>300</v>
      </c>
      <c r="I108" s="7" t="n">
        <f aca="false">F108/H108</f>
        <v>0.563333333333333</v>
      </c>
      <c r="J108" s="8" t="n">
        <f aca="false">IFERROR(G108/F108,0)</f>
        <v>105.254852071006</v>
      </c>
      <c r="K108" s="8" t="n">
        <f aca="false">G108/H108</f>
        <v>59.2935666666667</v>
      </c>
    </row>
    <row r="109" customFormat="false" ht="15" hidden="false" customHeight="true" outlineLevel="0" collapsed="false">
      <c r="A109" s="1" t="s">
        <v>165</v>
      </c>
      <c r="B109" s="1" t="s">
        <v>53</v>
      </c>
      <c r="C109" s="1" t="s">
        <v>148</v>
      </c>
      <c r="D109" s="1" t="n">
        <v>4</v>
      </c>
      <c r="E109" s="1" t="n">
        <v>16</v>
      </c>
      <c r="F109" s="1" t="n">
        <f aca="false">SUMIFS(Raw_Data!$H$2:$H$1461,Raw_Data!$A$2:$A$1461,A109)</f>
        <v>170</v>
      </c>
      <c r="G109" s="1" t="n">
        <f aca="false">SUMIFS(Raw_Data!$I$2:$I$1461,Raw_Data!$A$2:$A$1461,A109)</f>
        <v>18611.86</v>
      </c>
      <c r="H109" s="1" t="n">
        <v>300</v>
      </c>
      <c r="I109" s="7" t="n">
        <f aca="false">F109/H109</f>
        <v>0.566666666666667</v>
      </c>
      <c r="J109" s="8" t="n">
        <f aca="false">IFERROR(G109/F109,0)</f>
        <v>109.481529411765</v>
      </c>
      <c r="K109" s="8" t="n">
        <f aca="false">G109/H109</f>
        <v>62.0395333333333</v>
      </c>
    </row>
    <row r="110" customFormat="false" ht="15" hidden="false" customHeight="true" outlineLevel="0" collapsed="false">
      <c r="A110" s="1" t="s">
        <v>166</v>
      </c>
      <c r="B110" s="1" t="s">
        <v>55</v>
      </c>
      <c r="C110" s="1" t="s">
        <v>148</v>
      </c>
      <c r="D110" s="1" t="n">
        <v>4</v>
      </c>
      <c r="E110" s="1" t="n">
        <v>16</v>
      </c>
      <c r="F110" s="1" t="n">
        <f aca="false">SUMIFS(Raw_Data!$H$2:$H$1461,Raw_Data!$A$2:$A$1461,A110)</f>
        <v>126</v>
      </c>
      <c r="G110" s="1" t="n">
        <f aca="false">SUMIFS(Raw_Data!$I$2:$I$1461,Raw_Data!$A$2:$A$1461,A110)</f>
        <v>12757.12</v>
      </c>
      <c r="H110" s="1" t="n">
        <v>300</v>
      </c>
      <c r="I110" s="7" t="n">
        <f aca="false">F110/H110</f>
        <v>0.42</v>
      </c>
      <c r="J110" s="8" t="n">
        <f aca="false">IFERROR(G110/F110,0)</f>
        <v>101.246984126984</v>
      </c>
      <c r="K110" s="8" t="n">
        <f aca="false">G110/H110</f>
        <v>42.5237333333333</v>
      </c>
    </row>
    <row r="111" customFormat="false" ht="15" hidden="false" customHeight="true" outlineLevel="0" collapsed="false">
      <c r="A111" s="1" t="s">
        <v>167</v>
      </c>
      <c r="B111" s="1" t="s">
        <v>57</v>
      </c>
      <c r="C111" s="1" t="s">
        <v>148</v>
      </c>
      <c r="D111" s="1" t="n">
        <v>4</v>
      </c>
      <c r="E111" s="1" t="n">
        <v>16</v>
      </c>
      <c r="F111" s="1" t="n">
        <f aca="false">SUMIFS(Raw_Data!$H$2:$H$1461,Raw_Data!$A$2:$A$1461,A111)</f>
        <v>123</v>
      </c>
      <c r="G111" s="1" t="n">
        <f aca="false">SUMIFS(Raw_Data!$I$2:$I$1461,Raw_Data!$A$2:$A$1461,A111)</f>
        <v>13126.64</v>
      </c>
      <c r="H111" s="1" t="n">
        <v>300</v>
      </c>
      <c r="I111" s="7" t="n">
        <f aca="false">F111/H111</f>
        <v>0.41</v>
      </c>
      <c r="J111" s="8" t="n">
        <f aca="false">IFERROR(G111/F111,0)</f>
        <v>106.720650406504</v>
      </c>
      <c r="K111" s="8" t="n">
        <f aca="false">G111/H111</f>
        <v>43.7554666666667</v>
      </c>
    </row>
    <row r="112" customFormat="false" ht="15" hidden="false" customHeight="true" outlineLevel="0" collapsed="false">
      <c r="A112" s="1" t="s">
        <v>168</v>
      </c>
      <c r="B112" s="1" t="s">
        <v>59</v>
      </c>
      <c r="C112" s="1" t="s">
        <v>148</v>
      </c>
      <c r="D112" s="1" t="n">
        <v>4</v>
      </c>
      <c r="E112" s="1" t="n">
        <v>17</v>
      </c>
      <c r="F112" s="1" t="n">
        <f aca="false">SUMIFS(Raw_Data!$H$2:$H$1461,Raw_Data!$A$2:$A$1461,A112)</f>
        <v>198</v>
      </c>
      <c r="G112" s="1" t="n">
        <f aca="false">SUMIFS(Raw_Data!$I$2:$I$1461,Raw_Data!$A$2:$A$1461,A112)</f>
        <v>21451.72</v>
      </c>
      <c r="H112" s="1" t="n">
        <v>300</v>
      </c>
      <c r="I112" s="7" t="n">
        <f aca="false">F112/H112</f>
        <v>0.66</v>
      </c>
      <c r="J112" s="8" t="n">
        <f aca="false">IFERROR(G112/F112,0)</f>
        <v>108.34202020202</v>
      </c>
      <c r="K112" s="8" t="n">
        <f aca="false">G112/H112</f>
        <v>71.5057333333333</v>
      </c>
    </row>
    <row r="113" customFormat="false" ht="15" hidden="false" customHeight="true" outlineLevel="0" collapsed="false">
      <c r="A113" s="1" t="s">
        <v>169</v>
      </c>
      <c r="B113" s="1" t="s">
        <v>61</v>
      </c>
      <c r="C113" s="1" t="s">
        <v>148</v>
      </c>
      <c r="D113" s="1" t="n">
        <v>4</v>
      </c>
      <c r="E113" s="1" t="n">
        <v>17</v>
      </c>
      <c r="F113" s="1" t="n">
        <f aca="false">SUMIFS(Raw_Data!$H$2:$H$1461,Raw_Data!$A$2:$A$1461,A113)</f>
        <v>186</v>
      </c>
      <c r="G113" s="1" t="n">
        <f aca="false">SUMIFS(Raw_Data!$I$2:$I$1461,Raw_Data!$A$2:$A$1461,A113)</f>
        <v>21164.15</v>
      </c>
      <c r="H113" s="1" t="n">
        <v>300</v>
      </c>
      <c r="I113" s="7" t="n">
        <f aca="false">F113/H113</f>
        <v>0.62</v>
      </c>
      <c r="J113" s="8" t="n">
        <f aca="false">IFERROR(G113/F113,0)</f>
        <v>113.785752688172</v>
      </c>
      <c r="K113" s="8" t="n">
        <f aca="false">G113/H113</f>
        <v>70.5471666666667</v>
      </c>
    </row>
    <row r="114" customFormat="false" ht="15" hidden="false" customHeight="true" outlineLevel="0" collapsed="false">
      <c r="A114" s="1" t="s">
        <v>170</v>
      </c>
      <c r="B114" s="1" t="s">
        <v>41</v>
      </c>
      <c r="C114" s="1" t="s">
        <v>148</v>
      </c>
      <c r="D114" s="1" t="n">
        <v>4</v>
      </c>
      <c r="E114" s="1" t="n">
        <v>17</v>
      </c>
      <c r="F114" s="1" t="n">
        <f aca="false">SUMIFS(Raw_Data!$H$2:$H$1461,Raw_Data!$A$2:$A$1461,A114)</f>
        <v>175</v>
      </c>
      <c r="G114" s="1" t="n">
        <f aca="false">SUMIFS(Raw_Data!$I$2:$I$1461,Raw_Data!$A$2:$A$1461,A114)</f>
        <v>18958.63</v>
      </c>
      <c r="H114" s="1" t="n">
        <v>300</v>
      </c>
      <c r="I114" s="7" t="n">
        <f aca="false">F114/H114</f>
        <v>0.583333333333333</v>
      </c>
      <c r="J114" s="8" t="n">
        <f aca="false">IFERROR(G114/F114,0)</f>
        <v>108.335028571429</v>
      </c>
      <c r="K114" s="8" t="n">
        <f aca="false">G114/H114</f>
        <v>63.1954333333333</v>
      </c>
    </row>
    <row r="115" customFormat="false" ht="15" hidden="false" customHeight="true" outlineLevel="0" collapsed="false">
      <c r="A115" s="1" t="s">
        <v>171</v>
      </c>
      <c r="B115" s="1" t="s">
        <v>51</v>
      </c>
      <c r="C115" s="1" t="s">
        <v>148</v>
      </c>
      <c r="D115" s="1" t="n">
        <v>4</v>
      </c>
      <c r="E115" s="1" t="n">
        <v>17</v>
      </c>
      <c r="F115" s="1" t="n">
        <f aca="false">SUMIFS(Raw_Data!$H$2:$H$1461,Raw_Data!$A$2:$A$1461,A115)</f>
        <v>174</v>
      </c>
      <c r="G115" s="1" t="n">
        <f aca="false">SUMIFS(Raw_Data!$I$2:$I$1461,Raw_Data!$A$2:$A$1461,A115)</f>
        <v>19302.62</v>
      </c>
      <c r="H115" s="1" t="n">
        <v>300</v>
      </c>
      <c r="I115" s="7" t="n">
        <f aca="false">F115/H115</f>
        <v>0.58</v>
      </c>
      <c r="J115" s="8" t="n">
        <f aca="false">IFERROR(G115/F115,0)</f>
        <v>110.934597701149</v>
      </c>
      <c r="K115" s="8" t="n">
        <f aca="false">G115/H115</f>
        <v>64.3420666666667</v>
      </c>
    </row>
    <row r="116" customFormat="false" ht="15" hidden="false" customHeight="true" outlineLevel="0" collapsed="false">
      <c r="A116" s="1" t="s">
        <v>172</v>
      </c>
      <c r="B116" s="1" t="s">
        <v>53</v>
      </c>
      <c r="C116" s="1" t="s">
        <v>148</v>
      </c>
      <c r="D116" s="1" t="n">
        <v>4</v>
      </c>
      <c r="E116" s="1" t="n">
        <v>17</v>
      </c>
      <c r="F116" s="1" t="n">
        <f aca="false">SUMIFS(Raw_Data!$H$2:$H$1461,Raw_Data!$A$2:$A$1461,A116)</f>
        <v>176</v>
      </c>
      <c r="G116" s="1" t="n">
        <f aca="false">SUMIFS(Raw_Data!$I$2:$I$1461,Raw_Data!$A$2:$A$1461,A116)</f>
        <v>20167.55</v>
      </c>
      <c r="H116" s="1" t="n">
        <v>300</v>
      </c>
      <c r="I116" s="7" t="n">
        <f aca="false">F116/H116</f>
        <v>0.586666666666667</v>
      </c>
      <c r="J116" s="8" t="n">
        <f aca="false">IFERROR(G116/F116,0)</f>
        <v>114.588352272727</v>
      </c>
      <c r="K116" s="8" t="n">
        <f aca="false">G116/H116</f>
        <v>67.2251666666667</v>
      </c>
    </row>
    <row r="117" customFormat="false" ht="15" hidden="false" customHeight="true" outlineLevel="0" collapsed="false">
      <c r="A117" s="1" t="s">
        <v>173</v>
      </c>
      <c r="B117" s="1" t="s">
        <v>55</v>
      </c>
      <c r="C117" s="1" t="s">
        <v>148</v>
      </c>
      <c r="D117" s="1" t="n">
        <v>4</v>
      </c>
      <c r="E117" s="1" t="n">
        <v>17</v>
      </c>
      <c r="F117" s="1" t="n">
        <f aca="false">SUMIFS(Raw_Data!$H$2:$H$1461,Raw_Data!$A$2:$A$1461,A117)</f>
        <v>129</v>
      </c>
      <c r="G117" s="1" t="n">
        <f aca="false">SUMIFS(Raw_Data!$I$2:$I$1461,Raw_Data!$A$2:$A$1461,A117)</f>
        <v>12553.15</v>
      </c>
      <c r="H117" s="1" t="n">
        <v>300</v>
      </c>
      <c r="I117" s="7" t="n">
        <f aca="false">F117/H117</f>
        <v>0.43</v>
      </c>
      <c r="J117" s="8" t="n">
        <f aca="false">IFERROR(G117/F117,0)</f>
        <v>97.3112403100775</v>
      </c>
      <c r="K117" s="8" t="n">
        <f aca="false">G117/H117</f>
        <v>41.8438333333333</v>
      </c>
    </row>
    <row r="118" customFormat="false" ht="15" hidden="false" customHeight="true" outlineLevel="0" collapsed="false">
      <c r="A118" s="1" t="s">
        <v>174</v>
      </c>
      <c r="B118" s="1" t="s">
        <v>57</v>
      </c>
      <c r="C118" s="1" t="s">
        <v>148</v>
      </c>
      <c r="D118" s="1" t="n">
        <v>4</v>
      </c>
      <c r="E118" s="1" t="n">
        <v>17</v>
      </c>
      <c r="F118" s="1" t="n">
        <f aca="false">SUMIFS(Raw_Data!$H$2:$H$1461,Raw_Data!$A$2:$A$1461,A118)</f>
        <v>126</v>
      </c>
      <c r="G118" s="1" t="n">
        <f aca="false">SUMIFS(Raw_Data!$I$2:$I$1461,Raw_Data!$A$2:$A$1461,A118)</f>
        <v>13022.7</v>
      </c>
      <c r="H118" s="1" t="n">
        <v>300</v>
      </c>
      <c r="I118" s="7" t="n">
        <f aca="false">F118/H118</f>
        <v>0.42</v>
      </c>
      <c r="J118" s="8" t="n">
        <f aca="false">IFERROR(G118/F118,0)</f>
        <v>103.354761904762</v>
      </c>
      <c r="K118" s="8" t="n">
        <f aca="false">G118/H118</f>
        <v>43.409</v>
      </c>
    </row>
    <row r="119" customFormat="false" ht="15" hidden="false" customHeight="true" outlineLevel="0" collapsed="false">
      <c r="A119" s="1" t="s">
        <v>175</v>
      </c>
      <c r="B119" s="1" t="s">
        <v>59</v>
      </c>
      <c r="C119" s="1" t="s">
        <v>148</v>
      </c>
      <c r="D119" s="1" t="n">
        <v>4</v>
      </c>
      <c r="E119" s="1" t="n">
        <v>18</v>
      </c>
      <c r="F119" s="1" t="n">
        <f aca="false">SUMIFS(Raw_Data!$H$2:$H$1461,Raw_Data!$A$2:$A$1461,A119)</f>
        <v>163</v>
      </c>
      <c r="G119" s="1" t="n">
        <f aca="false">SUMIFS(Raw_Data!$I$2:$I$1461,Raw_Data!$A$2:$A$1461,A119)</f>
        <v>17946.11</v>
      </c>
      <c r="H119" s="1" t="n">
        <v>300</v>
      </c>
      <c r="I119" s="7" t="n">
        <f aca="false">F119/H119</f>
        <v>0.543333333333333</v>
      </c>
      <c r="J119" s="8" t="n">
        <f aca="false">IFERROR(G119/F119,0)</f>
        <v>110.098834355828</v>
      </c>
      <c r="K119" s="8" t="n">
        <f aca="false">G119/H119</f>
        <v>59.8203666666667</v>
      </c>
    </row>
    <row r="120" customFormat="false" ht="15" hidden="false" customHeight="true" outlineLevel="0" collapsed="false">
      <c r="A120" s="1" t="s">
        <v>176</v>
      </c>
      <c r="B120" s="1" t="s">
        <v>61</v>
      </c>
      <c r="C120" s="1" t="s">
        <v>148</v>
      </c>
      <c r="D120" s="1" t="n">
        <v>4</v>
      </c>
      <c r="E120" s="1" t="n">
        <v>18</v>
      </c>
      <c r="F120" s="1" t="n">
        <f aca="false">SUMIFS(Raw_Data!$H$2:$H$1461,Raw_Data!$A$2:$A$1461,A120)</f>
        <v>185</v>
      </c>
      <c r="G120" s="1" t="n">
        <f aca="false">SUMIFS(Raw_Data!$I$2:$I$1461,Raw_Data!$A$2:$A$1461,A120)</f>
        <v>19313.9</v>
      </c>
      <c r="H120" s="1" t="n">
        <v>300</v>
      </c>
      <c r="I120" s="7" t="n">
        <f aca="false">F120/H120</f>
        <v>0.616666666666667</v>
      </c>
      <c r="J120" s="8" t="n">
        <f aca="false">IFERROR(G120/F120,0)</f>
        <v>104.399459459459</v>
      </c>
      <c r="K120" s="8" t="n">
        <f aca="false">G120/H120</f>
        <v>64.3796666666667</v>
      </c>
    </row>
    <row r="121" customFormat="false" ht="15" hidden="false" customHeight="true" outlineLevel="0" collapsed="false">
      <c r="A121" s="1" t="s">
        <v>177</v>
      </c>
      <c r="B121" s="1" t="s">
        <v>41</v>
      </c>
      <c r="C121" s="1" t="s">
        <v>148</v>
      </c>
      <c r="D121" s="1" t="n">
        <v>4</v>
      </c>
      <c r="E121" s="1" t="n">
        <v>18</v>
      </c>
      <c r="F121" s="1" t="n">
        <f aca="false">SUMIFS(Raw_Data!$H$2:$H$1461,Raw_Data!$A$2:$A$1461,A121)</f>
        <v>165</v>
      </c>
      <c r="G121" s="1" t="n">
        <f aca="false">SUMIFS(Raw_Data!$I$2:$I$1461,Raw_Data!$A$2:$A$1461,A121)</f>
        <v>18774.63</v>
      </c>
      <c r="H121" s="1" t="n">
        <v>300</v>
      </c>
      <c r="I121" s="7" t="n">
        <f aca="false">F121/H121</f>
        <v>0.55</v>
      </c>
      <c r="J121" s="8" t="n">
        <f aca="false">IFERROR(G121/F121,0)</f>
        <v>113.785636363636</v>
      </c>
      <c r="K121" s="8" t="n">
        <f aca="false">G121/H121</f>
        <v>62.5821</v>
      </c>
    </row>
    <row r="122" customFormat="false" ht="15" hidden="false" customHeight="true" outlineLevel="0" collapsed="false">
      <c r="A122" s="1" t="s">
        <v>178</v>
      </c>
      <c r="B122" s="1" t="s">
        <v>51</v>
      </c>
      <c r="C122" s="1" t="s">
        <v>179</v>
      </c>
      <c r="D122" s="1" t="n">
        <v>5</v>
      </c>
      <c r="E122" s="1" t="n">
        <v>18</v>
      </c>
      <c r="F122" s="1" t="n">
        <f aca="false">SUMIFS(Raw_Data!$H$2:$H$1461,Raw_Data!$A$2:$A$1461,A122)</f>
        <v>186</v>
      </c>
      <c r="G122" s="1" t="n">
        <f aca="false">SUMIFS(Raw_Data!$I$2:$I$1461,Raw_Data!$A$2:$A$1461,A122)</f>
        <v>22086.33</v>
      </c>
      <c r="H122" s="1" t="n">
        <v>300</v>
      </c>
      <c r="I122" s="7" t="n">
        <f aca="false">F122/H122</f>
        <v>0.62</v>
      </c>
      <c r="J122" s="8" t="n">
        <f aca="false">IFERROR(G122/F122,0)</f>
        <v>118.743709677419</v>
      </c>
      <c r="K122" s="8" t="n">
        <f aca="false">G122/H122</f>
        <v>73.6211</v>
      </c>
    </row>
    <row r="123" customFormat="false" ht="15" hidden="false" customHeight="true" outlineLevel="0" collapsed="false">
      <c r="A123" s="1" t="s">
        <v>180</v>
      </c>
      <c r="B123" s="1" t="s">
        <v>53</v>
      </c>
      <c r="C123" s="1" t="s">
        <v>179</v>
      </c>
      <c r="D123" s="1" t="n">
        <v>5</v>
      </c>
      <c r="E123" s="1" t="n">
        <v>18</v>
      </c>
      <c r="F123" s="1" t="n">
        <f aca="false">SUMIFS(Raw_Data!$H$2:$H$1461,Raw_Data!$A$2:$A$1461,A123)</f>
        <v>182</v>
      </c>
      <c r="G123" s="1" t="n">
        <f aca="false">SUMIFS(Raw_Data!$I$2:$I$1461,Raw_Data!$A$2:$A$1461,A123)</f>
        <v>18359.46</v>
      </c>
      <c r="H123" s="1" t="n">
        <v>300</v>
      </c>
      <c r="I123" s="7" t="n">
        <f aca="false">F123/H123</f>
        <v>0.606666666666667</v>
      </c>
      <c r="J123" s="8" t="n">
        <f aca="false">IFERROR(G123/F123,0)</f>
        <v>100.876153846154</v>
      </c>
      <c r="K123" s="8" t="n">
        <f aca="false">G123/H123</f>
        <v>61.1982</v>
      </c>
    </row>
    <row r="124" customFormat="false" ht="15" hidden="false" customHeight="true" outlineLevel="0" collapsed="false">
      <c r="A124" s="1" t="s">
        <v>181</v>
      </c>
      <c r="B124" s="1" t="s">
        <v>55</v>
      </c>
      <c r="C124" s="1" t="s">
        <v>179</v>
      </c>
      <c r="D124" s="1" t="n">
        <v>5</v>
      </c>
      <c r="E124" s="1" t="n">
        <v>18</v>
      </c>
      <c r="F124" s="1" t="n">
        <f aca="false">SUMIFS(Raw_Data!$H$2:$H$1461,Raw_Data!$A$2:$A$1461,A124)</f>
        <v>121</v>
      </c>
      <c r="G124" s="1" t="n">
        <f aca="false">SUMIFS(Raw_Data!$I$2:$I$1461,Raw_Data!$A$2:$A$1461,A124)</f>
        <v>12299.54</v>
      </c>
      <c r="H124" s="1" t="n">
        <v>300</v>
      </c>
      <c r="I124" s="7" t="n">
        <f aca="false">F124/H124</f>
        <v>0.403333333333333</v>
      </c>
      <c r="J124" s="8" t="n">
        <f aca="false">IFERROR(G124/F124,0)</f>
        <v>101.649090909091</v>
      </c>
      <c r="K124" s="8" t="n">
        <f aca="false">G124/H124</f>
        <v>40.9984666666667</v>
      </c>
    </row>
    <row r="125" customFormat="false" ht="15" hidden="false" customHeight="true" outlineLevel="0" collapsed="false">
      <c r="A125" s="1" t="s">
        <v>182</v>
      </c>
      <c r="B125" s="1" t="s">
        <v>57</v>
      </c>
      <c r="C125" s="1" t="s">
        <v>179</v>
      </c>
      <c r="D125" s="1" t="n">
        <v>5</v>
      </c>
      <c r="E125" s="1" t="n">
        <v>18</v>
      </c>
      <c r="F125" s="1" t="n">
        <f aca="false">SUMIFS(Raw_Data!$H$2:$H$1461,Raw_Data!$A$2:$A$1461,A125)</f>
        <v>141</v>
      </c>
      <c r="G125" s="1" t="n">
        <f aca="false">SUMIFS(Raw_Data!$I$2:$I$1461,Raw_Data!$A$2:$A$1461,A125)</f>
        <v>14161.72</v>
      </c>
      <c r="H125" s="1" t="n">
        <v>300</v>
      </c>
      <c r="I125" s="7" t="n">
        <f aca="false">F125/H125</f>
        <v>0.47</v>
      </c>
      <c r="J125" s="8" t="n">
        <f aca="false">IFERROR(G125/F125,0)</f>
        <v>100.437730496454</v>
      </c>
      <c r="K125" s="8" t="n">
        <f aca="false">G125/H125</f>
        <v>47.2057333333333</v>
      </c>
    </row>
    <row r="126" customFormat="false" ht="15" hidden="false" customHeight="true" outlineLevel="0" collapsed="false">
      <c r="A126" s="1" t="s">
        <v>183</v>
      </c>
      <c r="B126" s="1" t="s">
        <v>59</v>
      </c>
      <c r="C126" s="1" t="s">
        <v>179</v>
      </c>
      <c r="D126" s="1" t="n">
        <v>5</v>
      </c>
      <c r="E126" s="1" t="n">
        <v>19</v>
      </c>
      <c r="F126" s="1" t="n">
        <f aca="false">SUMIFS(Raw_Data!$H$2:$H$1461,Raw_Data!$A$2:$A$1461,A126)</f>
        <v>181</v>
      </c>
      <c r="G126" s="1" t="n">
        <f aca="false">SUMIFS(Raw_Data!$I$2:$I$1461,Raw_Data!$A$2:$A$1461,A126)</f>
        <v>19467.31</v>
      </c>
      <c r="H126" s="1" t="n">
        <v>300</v>
      </c>
      <c r="I126" s="7" t="n">
        <f aca="false">F126/H126</f>
        <v>0.603333333333333</v>
      </c>
      <c r="J126" s="8" t="n">
        <f aca="false">IFERROR(G126/F126,0)</f>
        <v>107.554198895028</v>
      </c>
      <c r="K126" s="8" t="n">
        <f aca="false">G126/H126</f>
        <v>64.8910333333333</v>
      </c>
    </row>
    <row r="127" customFormat="false" ht="15" hidden="false" customHeight="true" outlineLevel="0" collapsed="false">
      <c r="A127" s="1" t="s">
        <v>184</v>
      </c>
      <c r="B127" s="1" t="s">
        <v>61</v>
      </c>
      <c r="C127" s="1" t="s">
        <v>179</v>
      </c>
      <c r="D127" s="1" t="n">
        <v>5</v>
      </c>
      <c r="E127" s="1" t="n">
        <v>19</v>
      </c>
      <c r="F127" s="1" t="n">
        <f aca="false">SUMIFS(Raw_Data!$H$2:$H$1461,Raw_Data!$A$2:$A$1461,A127)</f>
        <v>198</v>
      </c>
      <c r="G127" s="1" t="n">
        <f aca="false">SUMIFS(Raw_Data!$I$2:$I$1461,Raw_Data!$A$2:$A$1461,A127)</f>
        <v>22563.62</v>
      </c>
      <c r="H127" s="1" t="n">
        <v>300</v>
      </c>
      <c r="I127" s="7" t="n">
        <f aca="false">F127/H127</f>
        <v>0.66</v>
      </c>
      <c r="J127" s="8" t="n">
        <f aca="false">IFERROR(G127/F127,0)</f>
        <v>113.957676767677</v>
      </c>
      <c r="K127" s="8" t="n">
        <f aca="false">G127/H127</f>
        <v>75.2120666666667</v>
      </c>
    </row>
    <row r="128" customFormat="false" ht="15" hidden="false" customHeight="true" outlineLevel="0" collapsed="false">
      <c r="A128" s="1" t="s">
        <v>185</v>
      </c>
      <c r="B128" s="1" t="s">
        <v>41</v>
      </c>
      <c r="C128" s="1" t="s">
        <v>179</v>
      </c>
      <c r="D128" s="1" t="n">
        <v>5</v>
      </c>
      <c r="E128" s="1" t="n">
        <v>19</v>
      </c>
      <c r="F128" s="1" t="n">
        <f aca="false">SUMIFS(Raw_Data!$H$2:$H$1461,Raw_Data!$A$2:$A$1461,A128)</f>
        <v>203</v>
      </c>
      <c r="G128" s="1" t="n">
        <f aca="false">SUMIFS(Raw_Data!$I$2:$I$1461,Raw_Data!$A$2:$A$1461,A128)</f>
        <v>21646.28</v>
      </c>
      <c r="H128" s="1" t="n">
        <v>300</v>
      </c>
      <c r="I128" s="7" t="n">
        <f aca="false">F128/H128</f>
        <v>0.676666666666667</v>
      </c>
      <c r="J128" s="8" t="n">
        <f aca="false">IFERROR(G128/F128,0)</f>
        <v>106.631921182266</v>
      </c>
      <c r="K128" s="8" t="n">
        <f aca="false">G128/H128</f>
        <v>72.1542666666667</v>
      </c>
    </row>
    <row r="129" customFormat="false" ht="15" hidden="false" customHeight="true" outlineLevel="0" collapsed="false">
      <c r="A129" s="1" t="s">
        <v>186</v>
      </c>
      <c r="B129" s="1" t="s">
        <v>51</v>
      </c>
      <c r="C129" s="1" t="s">
        <v>179</v>
      </c>
      <c r="D129" s="1" t="n">
        <v>5</v>
      </c>
      <c r="E129" s="1" t="n">
        <v>19</v>
      </c>
      <c r="F129" s="1" t="n">
        <f aca="false">SUMIFS(Raw_Data!$H$2:$H$1461,Raw_Data!$A$2:$A$1461,A129)</f>
        <v>176</v>
      </c>
      <c r="G129" s="1" t="n">
        <f aca="false">SUMIFS(Raw_Data!$I$2:$I$1461,Raw_Data!$A$2:$A$1461,A129)</f>
        <v>19168.22</v>
      </c>
      <c r="H129" s="1" t="n">
        <v>300</v>
      </c>
      <c r="I129" s="7" t="n">
        <f aca="false">F129/H129</f>
        <v>0.586666666666667</v>
      </c>
      <c r="J129" s="8" t="n">
        <f aca="false">IFERROR(G129/F129,0)</f>
        <v>108.910340909091</v>
      </c>
      <c r="K129" s="8" t="n">
        <f aca="false">G129/H129</f>
        <v>63.8940666666667</v>
      </c>
    </row>
    <row r="130" customFormat="false" ht="15" hidden="false" customHeight="true" outlineLevel="0" collapsed="false">
      <c r="A130" s="1" t="s">
        <v>187</v>
      </c>
      <c r="B130" s="1" t="s">
        <v>53</v>
      </c>
      <c r="C130" s="1" t="s">
        <v>179</v>
      </c>
      <c r="D130" s="1" t="n">
        <v>5</v>
      </c>
      <c r="E130" s="1" t="n">
        <v>19</v>
      </c>
      <c r="F130" s="1" t="n">
        <f aca="false">SUMIFS(Raw_Data!$H$2:$H$1461,Raw_Data!$A$2:$A$1461,A130)</f>
        <v>198</v>
      </c>
      <c r="G130" s="1" t="n">
        <f aca="false">SUMIFS(Raw_Data!$I$2:$I$1461,Raw_Data!$A$2:$A$1461,A130)</f>
        <v>21716.15</v>
      </c>
      <c r="H130" s="1" t="n">
        <v>300</v>
      </c>
      <c r="I130" s="7" t="n">
        <f aca="false">F130/H130</f>
        <v>0.66</v>
      </c>
      <c r="J130" s="8" t="n">
        <f aca="false">IFERROR(G130/F130,0)</f>
        <v>109.677525252525</v>
      </c>
      <c r="K130" s="8" t="n">
        <f aca="false">G130/H130</f>
        <v>72.3871666666667</v>
      </c>
    </row>
    <row r="131" customFormat="false" ht="15" hidden="false" customHeight="true" outlineLevel="0" collapsed="false">
      <c r="A131" s="1" t="s">
        <v>188</v>
      </c>
      <c r="B131" s="1" t="s">
        <v>55</v>
      </c>
      <c r="C131" s="1" t="s">
        <v>179</v>
      </c>
      <c r="D131" s="1" t="n">
        <v>5</v>
      </c>
      <c r="E131" s="1" t="n">
        <v>19</v>
      </c>
      <c r="F131" s="1" t="n">
        <f aca="false">SUMIFS(Raw_Data!$H$2:$H$1461,Raw_Data!$A$2:$A$1461,A131)</f>
        <v>130</v>
      </c>
      <c r="G131" s="1" t="n">
        <f aca="false">SUMIFS(Raw_Data!$I$2:$I$1461,Raw_Data!$A$2:$A$1461,A131)</f>
        <v>14019.93</v>
      </c>
      <c r="H131" s="1" t="n">
        <v>300</v>
      </c>
      <c r="I131" s="7" t="n">
        <f aca="false">F131/H131</f>
        <v>0.433333333333333</v>
      </c>
      <c r="J131" s="8" t="n">
        <f aca="false">IFERROR(G131/F131,0)</f>
        <v>107.845615384615</v>
      </c>
      <c r="K131" s="8" t="n">
        <f aca="false">G131/H131</f>
        <v>46.7331</v>
      </c>
    </row>
    <row r="132" customFormat="false" ht="15" hidden="false" customHeight="true" outlineLevel="0" collapsed="false">
      <c r="A132" s="1" t="s">
        <v>189</v>
      </c>
      <c r="B132" s="1" t="s">
        <v>57</v>
      </c>
      <c r="C132" s="1" t="s">
        <v>179</v>
      </c>
      <c r="D132" s="1" t="n">
        <v>5</v>
      </c>
      <c r="E132" s="1" t="n">
        <v>19</v>
      </c>
      <c r="F132" s="1" t="n">
        <f aca="false">SUMIFS(Raw_Data!$H$2:$H$1461,Raw_Data!$A$2:$A$1461,A132)</f>
        <v>143</v>
      </c>
      <c r="G132" s="1" t="n">
        <f aca="false">SUMIFS(Raw_Data!$I$2:$I$1461,Raw_Data!$A$2:$A$1461,A132)</f>
        <v>14270.57</v>
      </c>
      <c r="H132" s="1" t="n">
        <v>300</v>
      </c>
      <c r="I132" s="7" t="n">
        <f aca="false">F132/H132</f>
        <v>0.476666666666667</v>
      </c>
      <c r="J132" s="8" t="n">
        <f aca="false">IFERROR(G132/F132,0)</f>
        <v>99.7941958041958</v>
      </c>
      <c r="K132" s="8" t="n">
        <f aca="false">G132/H132</f>
        <v>47.5685666666667</v>
      </c>
    </row>
    <row r="133" customFormat="false" ht="15" hidden="false" customHeight="true" outlineLevel="0" collapsed="false">
      <c r="A133" s="1" t="s">
        <v>190</v>
      </c>
      <c r="B133" s="1" t="s">
        <v>59</v>
      </c>
      <c r="C133" s="1" t="s">
        <v>179</v>
      </c>
      <c r="D133" s="1" t="n">
        <v>5</v>
      </c>
      <c r="E133" s="1" t="n">
        <v>20</v>
      </c>
      <c r="F133" s="1" t="n">
        <f aca="false">SUMIFS(Raw_Data!$H$2:$H$1461,Raw_Data!$A$2:$A$1461,A133)</f>
        <v>194</v>
      </c>
      <c r="G133" s="1" t="n">
        <f aca="false">SUMIFS(Raw_Data!$I$2:$I$1461,Raw_Data!$A$2:$A$1461,A133)</f>
        <v>22478.49</v>
      </c>
      <c r="H133" s="1" t="n">
        <v>300</v>
      </c>
      <c r="I133" s="7" t="n">
        <f aca="false">F133/H133</f>
        <v>0.646666666666667</v>
      </c>
      <c r="J133" s="8" t="n">
        <f aca="false">IFERROR(G133/F133,0)</f>
        <v>115.868505154639</v>
      </c>
      <c r="K133" s="8" t="n">
        <f aca="false">G133/H133</f>
        <v>74.9283</v>
      </c>
    </row>
    <row r="134" customFormat="false" ht="15" hidden="false" customHeight="true" outlineLevel="0" collapsed="false">
      <c r="A134" s="1" t="s">
        <v>191</v>
      </c>
      <c r="B134" s="1" t="s">
        <v>61</v>
      </c>
      <c r="C134" s="1" t="s">
        <v>179</v>
      </c>
      <c r="D134" s="1" t="n">
        <v>5</v>
      </c>
      <c r="E134" s="1" t="n">
        <v>20</v>
      </c>
      <c r="F134" s="1" t="n">
        <f aca="false">SUMIFS(Raw_Data!$H$2:$H$1461,Raw_Data!$A$2:$A$1461,A134)</f>
        <v>188</v>
      </c>
      <c r="G134" s="1" t="n">
        <f aca="false">SUMIFS(Raw_Data!$I$2:$I$1461,Raw_Data!$A$2:$A$1461,A134)</f>
        <v>20422.2</v>
      </c>
      <c r="H134" s="1" t="n">
        <v>300</v>
      </c>
      <c r="I134" s="7" t="n">
        <f aca="false">F134/H134</f>
        <v>0.626666666666667</v>
      </c>
      <c r="J134" s="8" t="n">
        <f aca="false">IFERROR(G134/F134,0)</f>
        <v>108.628723404255</v>
      </c>
      <c r="K134" s="8" t="n">
        <f aca="false">G134/H134</f>
        <v>68.074</v>
      </c>
    </row>
    <row r="135" customFormat="false" ht="15" hidden="false" customHeight="true" outlineLevel="0" collapsed="false">
      <c r="A135" s="1" t="s">
        <v>192</v>
      </c>
      <c r="B135" s="1" t="s">
        <v>41</v>
      </c>
      <c r="C135" s="1" t="s">
        <v>179</v>
      </c>
      <c r="D135" s="1" t="n">
        <v>5</v>
      </c>
      <c r="E135" s="1" t="n">
        <v>20</v>
      </c>
      <c r="F135" s="1" t="n">
        <f aca="false">SUMIFS(Raw_Data!$H$2:$H$1461,Raw_Data!$A$2:$A$1461,A135)</f>
        <v>174</v>
      </c>
      <c r="G135" s="1" t="n">
        <f aca="false">SUMIFS(Raw_Data!$I$2:$I$1461,Raw_Data!$A$2:$A$1461,A135)</f>
        <v>18532.14</v>
      </c>
      <c r="H135" s="1" t="n">
        <v>300</v>
      </c>
      <c r="I135" s="7" t="n">
        <f aca="false">F135/H135</f>
        <v>0.58</v>
      </c>
      <c r="J135" s="8" t="n">
        <f aca="false">IFERROR(G135/F135,0)</f>
        <v>106.506551724138</v>
      </c>
      <c r="K135" s="8" t="n">
        <f aca="false">G135/H135</f>
        <v>61.7738</v>
      </c>
    </row>
    <row r="136" customFormat="false" ht="15" hidden="false" customHeight="true" outlineLevel="0" collapsed="false">
      <c r="A136" s="1" t="s">
        <v>193</v>
      </c>
      <c r="B136" s="1" t="s">
        <v>51</v>
      </c>
      <c r="C136" s="1" t="s">
        <v>179</v>
      </c>
      <c r="D136" s="1" t="n">
        <v>5</v>
      </c>
      <c r="E136" s="1" t="n">
        <v>20</v>
      </c>
      <c r="F136" s="1" t="n">
        <f aca="false">SUMIFS(Raw_Data!$H$2:$H$1461,Raw_Data!$A$2:$A$1461,A136)</f>
        <v>184</v>
      </c>
      <c r="G136" s="1" t="n">
        <f aca="false">SUMIFS(Raw_Data!$I$2:$I$1461,Raw_Data!$A$2:$A$1461,A136)</f>
        <v>19197.3</v>
      </c>
      <c r="H136" s="1" t="n">
        <v>300</v>
      </c>
      <c r="I136" s="7" t="n">
        <f aca="false">F136/H136</f>
        <v>0.613333333333333</v>
      </c>
      <c r="J136" s="8" t="n">
        <f aca="false">IFERROR(G136/F136,0)</f>
        <v>104.333152173913</v>
      </c>
      <c r="K136" s="8" t="n">
        <f aca="false">G136/H136</f>
        <v>63.991</v>
      </c>
    </row>
    <row r="137" customFormat="false" ht="15" hidden="false" customHeight="true" outlineLevel="0" collapsed="false">
      <c r="A137" s="1" t="s">
        <v>194</v>
      </c>
      <c r="B137" s="1" t="s">
        <v>53</v>
      </c>
      <c r="C137" s="1" t="s">
        <v>179</v>
      </c>
      <c r="D137" s="1" t="n">
        <v>5</v>
      </c>
      <c r="E137" s="1" t="n">
        <v>20</v>
      </c>
      <c r="F137" s="1" t="n">
        <f aca="false">SUMIFS(Raw_Data!$H$2:$H$1461,Raw_Data!$A$2:$A$1461,A137)</f>
        <v>181</v>
      </c>
      <c r="G137" s="1" t="n">
        <f aca="false">SUMIFS(Raw_Data!$I$2:$I$1461,Raw_Data!$A$2:$A$1461,A137)</f>
        <v>19857.55</v>
      </c>
      <c r="H137" s="1" t="n">
        <v>300</v>
      </c>
      <c r="I137" s="7" t="n">
        <f aca="false">F137/H137</f>
        <v>0.603333333333333</v>
      </c>
      <c r="J137" s="8" t="n">
        <f aca="false">IFERROR(G137/F137,0)</f>
        <v>109.710220994475</v>
      </c>
      <c r="K137" s="8" t="n">
        <f aca="false">G137/H137</f>
        <v>66.1918333333333</v>
      </c>
    </row>
    <row r="138" customFormat="false" ht="15" hidden="false" customHeight="true" outlineLevel="0" collapsed="false">
      <c r="A138" s="1" t="s">
        <v>195</v>
      </c>
      <c r="B138" s="1" t="s">
        <v>55</v>
      </c>
      <c r="C138" s="1" t="s">
        <v>179</v>
      </c>
      <c r="D138" s="1" t="n">
        <v>5</v>
      </c>
      <c r="E138" s="1" t="n">
        <v>20</v>
      </c>
      <c r="F138" s="1" t="n">
        <f aca="false">SUMIFS(Raw_Data!$H$2:$H$1461,Raw_Data!$A$2:$A$1461,A138)</f>
        <v>135</v>
      </c>
      <c r="G138" s="1" t="n">
        <f aca="false">SUMIFS(Raw_Data!$I$2:$I$1461,Raw_Data!$A$2:$A$1461,A138)</f>
        <v>13657.69</v>
      </c>
      <c r="H138" s="1" t="n">
        <v>300</v>
      </c>
      <c r="I138" s="7" t="n">
        <f aca="false">F138/H138</f>
        <v>0.45</v>
      </c>
      <c r="J138" s="8" t="n">
        <f aca="false">IFERROR(G138/F138,0)</f>
        <v>101.168074074074</v>
      </c>
      <c r="K138" s="8" t="n">
        <f aca="false">G138/H138</f>
        <v>45.5256333333333</v>
      </c>
    </row>
    <row r="139" customFormat="false" ht="15" hidden="false" customHeight="true" outlineLevel="0" collapsed="false">
      <c r="A139" s="1" t="s">
        <v>196</v>
      </c>
      <c r="B139" s="1" t="s">
        <v>57</v>
      </c>
      <c r="C139" s="1" t="s">
        <v>179</v>
      </c>
      <c r="D139" s="1" t="n">
        <v>5</v>
      </c>
      <c r="E139" s="1" t="n">
        <v>20</v>
      </c>
      <c r="F139" s="1" t="n">
        <f aca="false">SUMIFS(Raw_Data!$H$2:$H$1461,Raw_Data!$A$2:$A$1461,A139)</f>
        <v>146</v>
      </c>
      <c r="G139" s="1" t="n">
        <f aca="false">SUMIFS(Raw_Data!$I$2:$I$1461,Raw_Data!$A$2:$A$1461,A139)</f>
        <v>14366.86</v>
      </c>
      <c r="H139" s="1" t="n">
        <v>300</v>
      </c>
      <c r="I139" s="7" t="n">
        <f aca="false">F139/H139</f>
        <v>0.486666666666667</v>
      </c>
      <c r="J139" s="8" t="n">
        <f aca="false">IFERROR(G139/F139,0)</f>
        <v>98.4031506849315</v>
      </c>
      <c r="K139" s="8" t="n">
        <f aca="false">G139/H139</f>
        <v>47.8895333333333</v>
      </c>
    </row>
    <row r="140" customFormat="false" ht="15" hidden="false" customHeight="true" outlineLevel="0" collapsed="false">
      <c r="A140" s="1" t="s">
        <v>197</v>
      </c>
      <c r="B140" s="1" t="s">
        <v>59</v>
      </c>
      <c r="C140" s="1" t="s">
        <v>179</v>
      </c>
      <c r="D140" s="1" t="n">
        <v>5</v>
      </c>
      <c r="E140" s="1" t="n">
        <v>21</v>
      </c>
      <c r="F140" s="1" t="n">
        <f aca="false">SUMIFS(Raw_Data!$H$2:$H$1461,Raw_Data!$A$2:$A$1461,A140)</f>
        <v>191</v>
      </c>
      <c r="G140" s="1" t="n">
        <f aca="false">SUMIFS(Raw_Data!$I$2:$I$1461,Raw_Data!$A$2:$A$1461,A140)</f>
        <v>20401.61</v>
      </c>
      <c r="H140" s="1" t="n">
        <v>300</v>
      </c>
      <c r="I140" s="7" t="n">
        <f aca="false">F140/H140</f>
        <v>0.636666666666667</v>
      </c>
      <c r="J140" s="8" t="n">
        <f aca="false">IFERROR(G140/F140,0)</f>
        <v>106.814712041885</v>
      </c>
      <c r="K140" s="8" t="n">
        <f aca="false">G140/H140</f>
        <v>68.0053666666667</v>
      </c>
    </row>
    <row r="141" customFormat="false" ht="15" hidden="false" customHeight="true" outlineLevel="0" collapsed="false">
      <c r="A141" s="1" t="s">
        <v>198</v>
      </c>
      <c r="B141" s="1" t="s">
        <v>61</v>
      </c>
      <c r="C141" s="1" t="s">
        <v>179</v>
      </c>
      <c r="D141" s="1" t="n">
        <v>5</v>
      </c>
      <c r="E141" s="1" t="n">
        <v>21</v>
      </c>
      <c r="F141" s="1" t="n">
        <f aca="false">SUMIFS(Raw_Data!$H$2:$H$1461,Raw_Data!$A$2:$A$1461,A141)</f>
        <v>197</v>
      </c>
      <c r="G141" s="1" t="n">
        <f aca="false">SUMIFS(Raw_Data!$I$2:$I$1461,Raw_Data!$A$2:$A$1461,A141)</f>
        <v>22148.24</v>
      </c>
      <c r="H141" s="1" t="n">
        <v>300</v>
      </c>
      <c r="I141" s="7" t="n">
        <f aca="false">F141/H141</f>
        <v>0.656666666666667</v>
      </c>
      <c r="J141" s="8" t="n">
        <f aca="false">IFERROR(G141/F141,0)</f>
        <v>112.427614213198</v>
      </c>
      <c r="K141" s="8" t="n">
        <f aca="false">G141/H141</f>
        <v>73.8274666666667</v>
      </c>
    </row>
    <row r="142" customFormat="false" ht="15" hidden="false" customHeight="true" outlineLevel="0" collapsed="false">
      <c r="A142" s="1" t="s">
        <v>199</v>
      </c>
      <c r="B142" s="1" t="s">
        <v>41</v>
      </c>
      <c r="C142" s="1" t="s">
        <v>179</v>
      </c>
      <c r="D142" s="1" t="n">
        <v>5</v>
      </c>
      <c r="E142" s="1" t="n">
        <v>21</v>
      </c>
      <c r="F142" s="1" t="n">
        <f aca="false">SUMIFS(Raw_Data!$H$2:$H$1461,Raw_Data!$A$2:$A$1461,A142)</f>
        <v>198</v>
      </c>
      <c r="G142" s="1" t="n">
        <f aca="false">SUMIFS(Raw_Data!$I$2:$I$1461,Raw_Data!$A$2:$A$1461,A142)</f>
        <v>22116.14</v>
      </c>
      <c r="H142" s="1" t="n">
        <v>300</v>
      </c>
      <c r="I142" s="7" t="n">
        <f aca="false">F142/H142</f>
        <v>0.66</v>
      </c>
      <c r="J142" s="8" t="n">
        <f aca="false">IFERROR(G142/F142,0)</f>
        <v>111.697676767677</v>
      </c>
      <c r="K142" s="8" t="n">
        <f aca="false">G142/H142</f>
        <v>73.7204666666667</v>
      </c>
    </row>
    <row r="143" customFormat="false" ht="15" hidden="false" customHeight="true" outlineLevel="0" collapsed="false">
      <c r="A143" s="1" t="s">
        <v>200</v>
      </c>
      <c r="B143" s="1" t="s">
        <v>51</v>
      </c>
      <c r="C143" s="1" t="s">
        <v>179</v>
      </c>
      <c r="D143" s="1" t="n">
        <v>5</v>
      </c>
      <c r="E143" s="1" t="n">
        <v>21</v>
      </c>
      <c r="F143" s="1" t="n">
        <f aca="false">SUMIFS(Raw_Data!$H$2:$H$1461,Raw_Data!$A$2:$A$1461,A143)</f>
        <v>186</v>
      </c>
      <c r="G143" s="1" t="n">
        <f aca="false">SUMIFS(Raw_Data!$I$2:$I$1461,Raw_Data!$A$2:$A$1461,A143)</f>
        <v>20832.64</v>
      </c>
      <c r="H143" s="1" t="n">
        <v>300</v>
      </c>
      <c r="I143" s="7" t="n">
        <f aca="false">F143/H143</f>
        <v>0.62</v>
      </c>
      <c r="J143" s="8" t="n">
        <f aca="false">IFERROR(G143/F143,0)</f>
        <v>112.003440860215</v>
      </c>
      <c r="K143" s="8" t="n">
        <f aca="false">G143/H143</f>
        <v>69.4421333333333</v>
      </c>
    </row>
    <row r="144" customFormat="false" ht="15" hidden="false" customHeight="true" outlineLevel="0" collapsed="false">
      <c r="A144" s="1" t="s">
        <v>201</v>
      </c>
      <c r="B144" s="1" t="s">
        <v>53</v>
      </c>
      <c r="C144" s="1" t="s">
        <v>179</v>
      </c>
      <c r="D144" s="1" t="n">
        <v>5</v>
      </c>
      <c r="E144" s="1" t="n">
        <v>21</v>
      </c>
      <c r="F144" s="1" t="n">
        <f aca="false">SUMIFS(Raw_Data!$H$2:$H$1461,Raw_Data!$A$2:$A$1461,A144)</f>
        <v>192</v>
      </c>
      <c r="G144" s="1" t="n">
        <f aca="false">SUMIFS(Raw_Data!$I$2:$I$1461,Raw_Data!$A$2:$A$1461,A144)</f>
        <v>20499.57</v>
      </c>
      <c r="H144" s="1" t="n">
        <v>300</v>
      </c>
      <c r="I144" s="7" t="n">
        <f aca="false">F144/H144</f>
        <v>0.64</v>
      </c>
      <c r="J144" s="8" t="n">
        <f aca="false">IFERROR(G144/F144,0)</f>
        <v>106.76859375</v>
      </c>
      <c r="K144" s="8" t="n">
        <f aca="false">G144/H144</f>
        <v>68.3319</v>
      </c>
    </row>
    <row r="145" customFormat="false" ht="15" hidden="false" customHeight="true" outlineLevel="0" collapsed="false">
      <c r="A145" s="1" t="s">
        <v>202</v>
      </c>
      <c r="B145" s="1" t="s">
        <v>55</v>
      </c>
      <c r="C145" s="1" t="s">
        <v>179</v>
      </c>
      <c r="D145" s="1" t="n">
        <v>5</v>
      </c>
      <c r="E145" s="1" t="n">
        <v>21</v>
      </c>
      <c r="F145" s="1" t="n">
        <f aca="false">SUMIFS(Raw_Data!$H$2:$H$1461,Raw_Data!$A$2:$A$1461,A145)</f>
        <v>125</v>
      </c>
      <c r="G145" s="1" t="n">
        <f aca="false">SUMIFS(Raw_Data!$I$2:$I$1461,Raw_Data!$A$2:$A$1461,A145)</f>
        <v>11786.49</v>
      </c>
      <c r="H145" s="1" t="n">
        <v>300</v>
      </c>
      <c r="I145" s="7" t="n">
        <f aca="false">F145/H145</f>
        <v>0.416666666666667</v>
      </c>
      <c r="J145" s="8" t="n">
        <f aca="false">IFERROR(G145/F145,0)</f>
        <v>94.29192</v>
      </c>
      <c r="K145" s="8" t="n">
        <f aca="false">G145/H145</f>
        <v>39.2883</v>
      </c>
    </row>
    <row r="146" customFormat="false" ht="15" hidden="false" customHeight="true" outlineLevel="0" collapsed="false">
      <c r="A146" s="1" t="s">
        <v>203</v>
      </c>
      <c r="B146" s="1" t="s">
        <v>57</v>
      </c>
      <c r="C146" s="1" t="s">
        <v>179</v>
      </c>
      <c r="D146" s="1" t="n">
        <v>5</v>
      </c>
      <c r="E146" s="1" t="n">
        <v>21</v>
      </c>
      <c r="F146" s="1" t="n">
        <f aca="false">SUMIFS(Raw_Data!$H$2:$H$1461,Raw_Data!$A$2:$A$1461,A146)</f>
        <v>142</v>
      </c>
      <c r="G146" s="1" t="n">
        <f aca="false">SUMIFS(Raw_Data!$I$2:$I$1461,Raw_Data!$A$2:$A$1461,A146)</f>
        <v>14837.87</v>
      </c>
      <c r="H146" s="1" t="n">
        <v>300</v>
      </c>
      <c r="I146" s="7" t="n">
        <f aca="false">F146/H146</f>
        <v>0.473333333333333</v>
      </c>
      <c r="J146" s="8" t="n">
        <f aca="false">IFERROR(G146/F146,0)</f>
        <v>104.492042253521</v>
      </c>
      <c r="K146" s="8" t="n">
        <f aca="false">G146/H146</f>
        <v>49.4595666666667</v>
      </c>
    </row>
    <row r="147" customFormat="false" ht="15" hidden="false" customHeight="true" outlineLevel="0" collapsed="false">
      <c r="A147" s="1" t="s">
        <v>204</v>
      </c>
      <c r="B147" s="1" t="s">
        <v>59</v>
      </c>
      <c r="C147" s="1" t="s">
        <v>179</v>
      </c>
      <c r="D147" s="1" t="n">
        <v>5</v>
      </c>
      <c r="E147" s="1" t="n">
        <v>22</v>
      </c>
      <c r="F147" s="1" t="n">
        <f aca="false">SUMIFS(Raw_Data!$H$2:$H$1461,Raw_Data!$A$2:$A$1461,A147)</f>
        <v>162</v>
      </c>
      <c r="G147" s="1" t="n">
        <f aca="false">SUMIFS(Raw_Data!$I$2:$I$1461,Raw_Data!$A$2:$A$1461,A147)</f>
        <v>19041.09</v>
      </c>
      <c r="H147" s="1" t="n">
        <v>300</v>
      </c>
      <c r="I147" s="7" t="n">
        <f aca="false">F147/H147</f>
        <v>0.54</v>
      </c>
      <c r="J147" s="8" t="n">
        <f aca="false">IFERROR(G147/F147,0)</f>
        <v>117.537592592593</v>
      </c>
      <c r="K147" s="8" t="n">
        <f aca="false">G147/H147</f>
        <v>63.4703</v>
      </c>
    </row>
    <row r="148" customFormat="false" ht="15" hidden="false" customHeight="true" outlineLevel="0" collapsed="false">
      <c r="A148" s="1" t="s">
        <v>205</v>
      </c>
      <c r="B148" s="1" t="s">
        <v>61</v>
      </c>
      <c r="C148" s="1" t="s">
        <v>179</v>
      </c>
      <c r="D148" s="1" t="n">
        <v>5</v>
      </c>
      <c r="E148" s="1" t="n">
        <v>22</v>
      </c>
      <c r="F148" s="1" t="n">
        <f aca="false">SUMIFS(Raw_Data!$H$2:$H$1461,Raw_Data!$A$2:$A$1461,A148)</f>
        <v>186</v>
      </c>
      <c r="G148" s="1" t="n">
        <f aca="false">SUMIFS(Raw_Data!$I$2:$I$1461,Raw_Data!$A$2:$A$1461,A148)</f>
        <v>21063.58</v>
      </c>
      <c r="H148" s="1" t="n">
        <v>300</v>
      </c>
      <c r="I148" s="7" t="n">
        <f aca="false">F148/H148</f>
        <v>0.62</v>
      </c>
      <c r="J148" s="8" t="n">
        <f aca="false">IFERROR(G148/F148,0)</f>
        <v>113.245053763441</v>
      </c>
      <c r="K148" s="8" t="n">
        <f aca="false">G148/H148</f>
        <v>70.2119333333333</v>
      </c>
    </row>
    <row r="149" customFormat="false" ht="15" hidden="false" customHeight="true" outlineLevel="0" collapsed="false">
      <c r="A149" s="1" t="s">
        <v>206</v>
      </c>
      <c r="B149" s="1" t="s">
        <v>41</v>
      </c>
      <c r="C149" s="1" t="s">
        <v>179</v>
      </c>
      <c r="D149" s="1" t="n">
        <v>5</v>
      </c>
      <c r="E149" s="1" t="n">
        <v>22</v>
      </c>
      <c r="F149" s="1" t="n">
        <f aca="false">SUMIFS(Raw_Data!$H$2:$H$1461,Raw_Data!$A$2:$A$1461,A149)</f>
        <v>168</v>
      </c>
      <c r="G149" s="1" t="n">
        <f aca="false">SUMIFS(Raw_Data!$I$2:$I$1461,Raw_Data!$A$2:$A$1461,A149)</f>
        <v>17937.7</v>
      </c>
      <c r="H149" s="1" t="n">
        <v>300</v>
      </c>
      <c r="I149" s="7" t="n">
        <f aca="false">F149/H149</f>
        <v>0.56</v>
      </c>
      <c r="J149" s="8" t="n">
        <f aca="false">IFERROR(G149/F149,0)</f>
        <v>106.772023809524</v>
      </c>
      <c r="K149" s="8" t="n">
        <f aca="false">G149/H149</f>
        <v>59.7923333333333</v>
      </c>
    </row>
    <row r="150" customFormat="false" ht="15" hidden="false" customHeight="true" outlineLevel="0" collapsed="false">
      <c r="A150" s="1" t="s">
        <v>207</v>
      </c>
      <c r="B150" s="1" t="s">
        <v>51</v>
      </c>
      <c r="C150" s="1" t="s">
        <v>179</v>
      </c>
      <c r="D150" s="1" t="n">
        <v>5</v>
      </c>
      <c r="E150" s="1" t="n">
        <v>22</v>
      </c>
      <c r="F150" s="1" t="n">
        <f aca="false">SUMIFS(Raw_Data!$H$2:$H$1461,Raw_Data!$A$2:$A$1461,A150)</f>
        <v>173</v>
      </c>
      <c r="G150" s="1" t="n">
        <f aca="false">SUMIFS(Raw_Data!$I$2:$I$1461,Raw_Data!$A$2:$A$1461,A150)</f>
        <v>18992.71</v>
      </c>
      <c r="H150" s="1" t="n">
        <v>300</v>
      </c>
      <c r="I150" s="7" t="n">
        <f aca="false">F150/H150</f>
        <v>0.576666666666667</v>
      </c>
      <c r="J150" s="8" t="n">
        <f aca="false">IFERROR(G150/F150,0)</f>
        <v>109.784450867052</v>
      </c>
      <c r="K150" s="8" t="n">
        <f aca="false">G150/H150</f>
        <v>63.3090333333333</v>
      </c>
    </row>
    <row r="151" customFormat="false" ht="15" hidden="false" customHeight="true" outlineLevel="0" collapsed="false">
      <c r="A151" s="1" t="s">
        <v>208</v>
      </c>
      <c r="B151" s="1" t="s">
        <v>53</v>
      </c>
      <c r="C151" s="1" t="s">
        <v>179</v>
      </c>
      <c r="D151" s="1" t="n">
        <v>5</v>
      </c>
      <c r="E151" s="1" t="n">
        <v>22</v>
      </c>
      <c r="F151" s="1" t="n">
        <f aca="false">SUMIFS(Raw_Data!$H$2:$H$1461,Raw_Data!$A$2:$A$1461,A151)</f>
        <v>173</v>
      </c>
      <c r="G151" s="1" t="n">
        <f aca="false">SUMIFS(Raw_Data!$I$2:$I$1461,Raw_Data!$A$2:$A$1461,A151)</f>
        <v>19466.48</v>
      </c>
      <c r="H151" s="1" t="n">
        <v>300</v>
      </c>
      <c r="I151" s="7" t="n">
        <f aca="false">F151/H151</f>
        <v>0.576666666666667</v>
      </c>
      <c r="J151" s="8" t="n">
        <f aca="false">IFERROR(G151/F151,0)</f>
        <v>112.523005780347</v>
      </c>
      <c r="K151" s="8" t="n">
        <f aca="false">G151/H151</f>
        <v>64.8882666666667</v>
      </c>
    </row>
    <row r="152" customFormat="false" ht="15" hidden="false" customHeight="true" outlineLevel="0" collapsed="false">
      <c r="A152" s="1" t="s">
        <v>209</v>
      </c>
      <c r="B152" s="1" t="s">
        <v>55</v>
      </c>
      <c r="C152" s="1" t="s">
        <v>179</v>
      </c>
      <c r="D152" s="1" t="n">
        <v>5</v>
      </c>
      <c r="E152" s="1" t="n">
        <v>22</v>
      </c>
      <c r="F152" s="1" t="n">
        <f aca="false">SUMIFS(Raw_Data!$H$2:$H$1461,Raw_Data!$A$2:$A$1461,A152)</f>
        <v>130</v>
      </c>
      <c r="G152" s="1" t="n">
        <f aca="false">SUMIFS(Raw_Data!$I$2:$I$1461,Raw_Data!$A$2:$A$1461,A152)</f>
        <v>13307.65</v>
      </c>
      <c r="H152" s="1" t="n">
        <v>300</v>
      </c>
      <c r="I152" s="7" t="n">
        <f aca="false">F152/H152</f>
        <v>0.433333333333333</v>
      </c>
      <c r="J152" s="8" t="n">
        <f aca="false">IFERROR(G152/F152,0)</f>
        <v>102.366538461538</v>
      </c>
      <c r="K152" s="8" t="n">
        <f aca="false">G152/H152</f>
        <v>44.3588333333333</v>
      </c>
    </row>
    <row r="153" customFormat="false" ht="15" hidden="false" customHeight="true" outlineLevel="0" collapsed="false">
      <c r="A153" s="1" t="s">
        <v>210</v>
      </c>
      <c r="B153" s="1" t="s">
        <v>57</v>
      </c>
      <c r="C153" s="1" t="s">
        <v>211</v>
      </c>
      <c r="D153" s="1" t="n">
        <v>6</v>
      </c>
      <c r="E153" s="1" t="n">
        <v>22</v>
      </c>
      <c r="F153" s="1" t="n">
        <f aca="false">SUMIFS(Raw_Data!$H$2:$H$1461,Raw_Data!$A$2:$A$1461,A153)</f>
        <v>125</v>
      </c>
      <c r="G153" s="1" t="n">
        <f aca="false">SUMIFS(Raw_Data!$I$2:$I$1461,Raw_Data!$A$2:$A$1461,A153)</f>
        <v>13143.11</v>
      </c>
      <c r="H153" s="1" t="n">
        <v>300</v>
      </c>
      <c r="I153" s="7" t="n">
        <f aca="false">F153/H153</f>
        <v>0.416666666666667</v>
      </c>
      <c r="J153" s="8" t="n">
        <f aca="false">IFERROR(G153/F153,0)</f>
        <v>105.14488</v>
      </c>
      <c r="K153" s="8" t="n">
        <f aca="false">G153/H153</f>
        <v>43.8103666666667</v>
      </c>
    </row>
    <row r="154" customFormat="false" ht="15" hidden="false" customHeight="true" outlineLevel="0" collapsed="false">
      <c r="A154" s="1" t="s">
        <v>212</v>
      </c>
      <c r="B154" s="1" t="s">
        <v>59</v>
      </c>
      <c r="C154" s="1" t="s">
        <v>211</v>
      </c>
      <c r="D154" s="1" t="n">
        <v>6</v>
      </c>
      <c r="E154" s="1" t="n">
        <v>23</v>
      </c>
      <c r="F154" s="1" t="n">
        <f aca="false">SUMIFS(Raw_Data!$H$2:$H$1461,Raw_Data!$A$2:$A$1461,A154)</f>
        <v>177</v>
      </c>
      <c r="G154" s="1" t="n">
        <f aca="false">SUMIFS(Raw_Data!$I$2:$I$1461,Raw_Data!$A$2:$A$1461,A154)</f>
        <v>20064.93</v>
      </c>
      <c r="H154" s="1" t="n">
        <v>300</v>
      </c>
      <c r="I154" s="7" t="n">
        <f aca="false">F154/H154</f>
        <v>0.59</v>
      </c>
      <c r="J154" s="8" t="n">
        <f aca="false">IFERROR(G154/F154,0)</f>
        <v>113.361186440678</v>
      </c>
      <c r="K154" s="8" t="n">
        <f aca="false">G154/H154</f>
        <v>66.8831</v>
      </c>
    </row>
    <row r="155" customFormat="false" ht="15" hidden="false" customHeight="true" outlineLevel="0" collapsed="false">
      <c r="A155" s="1" t="s">
        <v>213</v>
      </c>
      <c r="B155" s="1" t="s">
        <v>61</v>
      </c>
      <c r="C155" s="1" t="s">
        <v>211</v>
      </c>
      <c r="D155" s="1" t="n">
        <v>6</v>
      </c>
      <c r="E155" s="1" t="n">
        <v>23</v>
      </c>
      <c r="F155" s="1" t="n">
        <f aca="false">SUMIFS(Raw_Data!$H$2:$H$1461,Raw_Data!$A$2:$A$1461,A155)</f>
        <v>187</v>
      </c>
      <c r="G155" s="1" t="n">
        <f aca="false">SUMIFS(Raw_Data!$I$2:$I$1461,Raw_Data!$A$2:$A$1461,A155)</f>
        <v>20685.8</v>
      </c>
      <c r="H155" s="1" t="n">
        <v>300</v>
      </c>
      <c r="I155" s="7" t="n">
        <f aca="false">F155/H155</f>
        <v>0.623333333333333</v>
      </c>
      <c r="J155" s="8" t="n">
        <f aca="false">IFERROR(G155/F155,0)</f>
        <v>110.619251336898</v>
      </c>
      <c r="K155" s="8" t="n">
        <f aca="false">G155/H155</f>
        <v>68.9526666666667</v>
      </c>
    </row>
    <row r="156" customFormat="false" ht="15" hidden="false" customHeight="true" outlineLevel="0" collapsed="false">
      <c r="A156" s="1" t="s">
        <v>214</v>
      </c>
      <c r="B156" s="1" t="s">
        <v>41</v>
      </c>
      <c r="C156" s="1" t="s">
        <v>211</v>
      </c>
      <c r="D156" s="1" t="n">
        <v>6</v>
      </c>
      <c r="E156" s="1" t="n">
        <v>23</v>
      </c>
      <c r="F156" s="1" t="n">
        <f aca="false">SUMIFS(Raw_Data!$H$2:$H$1461,Raw_Data!$A$2:$A$1461,A156)</f>
        <v>191</v>
      </c>
      <c r="G156" s="1" t="n">
        <f aca="false">SUMIFS(Raw_Data!$I$2:$I$1461,Raw_Data!$A$2:$A$1461,A156)</f>
        <v>23285.52</v>
      </c>
      <c r="H156" s="1" t="n">
        <v>300</v>
      </c>
      <c r="I156" s="7" t="n">
        <f aca="false">F156/H156</f>
        <v>0.636666666666667</v>
      </c>
      <c r="J156" s="8" t="n">
        <f aca="false">IFERROR(G156/F156,0)</f>
        <v>121.913717277487</v>
      </c>
      <c r="K156" s="8" t="n">
        <f aca="false">G156/H156</f>
        <v>77.6184</v>
      </c>
    </row>
    <row r="157" customFormat="false" ht="15" hidden="false" customHeight="true" outlineLevel="0" collapsed="false">
      <c r="A157" s="1" t="s">
        <v>215</v>
      </c>
      <c r="B157" s="1" t="s">
        <v>51</v>
      </c>
      <c r="C157" s="1" t="s">
        <v>211</v>
      </c>
      <c r="D157" s="1" t="n">
        <v>6</v>
      </c>
      <c r="E157" s="1" t="n">
        <v>23</v>
      </c>
      <c r="F157" s="1" t="n">
        <f aca="false">SUMIFS(Raw_Data!$H$2:$H$1461,Raw_Data!$A$2:$A$1461,A157)</f>
        <v>179</v>
      </c>
      <c r="G157" s="1" t="n">
        <f aca="false">SUMIFS(Raw_Data!$I$2:$I$1461,Raw_Data!$A$2:$A$1461,A157)</f>
        <v>19136.4</v>
      </c>
      <c r="H157" s="1" t="n">
        <v>300</v>
      </c>
      <c r="I157" s="7" t="n">
        <f aca="false">F157/H157</f>
        <v>0.596666666666667</v>
      </c>
      <c r="J157" s="8" t="n">
        <f aca="false">IFERROR(G157/F157,0)</f>
        <v>106.907262569832</v>
      </c>
      <c r="K157" s="8" t="n">
        <f aca="false">G157/H157</f>
        <v>63.788</v>
      </c>
    </row>
    <row r="158" customFormat="false" ht="15" hidden="false" customHeight="true" outlineLevel="0" collapsed="false">
      <c r="A158" s="1" t="s">
        <v>216</v>
      </c>
      <c r="B158" s="1" t="s">
        <v>53</v>
      </c>
      <c r="C158" s="1" t="s">
        <v>211</v>
      </c>
      <c r="D158" s="1" t="n">
        <v>6</v>
      </c>
      <c r="E158" s="1" t="n">
        <v>23</v>
      </c>
      <c r="F158" s="1" t="n">
        <f aca="false">SUMIFS(Raw_Data!$H$2:$H$1461,Raw_Data!$A$2:$A$1461,A158)</f>
        <v>188</v>
      </c>
      <c r="G158" s="1" t="n">
        <f aca="false">SUMIFS(Raw_Data!$I$2:$I$1461,Raw_Data!$A$2:$A$1461,A158)</f>
        <v>19506.07</v>
      </c>
      <c r="H158" s="1" t="n">
        <v>300</v>
      </c>
      <c r="I158" s="7" t="n">
        <f aca="false">F158/H158</f>
        <v>0.626666666666667</v>
      </c>
      <c r="J158" s="8" t="n">
        <f aca="false">IFERROR(G158/F158,0)</f>
        <v>103.755691489362</v>
      </c>
      <c r="K158" s="8" t="n">
        <f aca="false">G158/H158</f>
        <v>65.0202333333333</v>
      </c>
    </row>
    <row r="159" customFormat="false" ht="15" hidden="false" customHeight="true" outlineLevel="0" collapsed="false">
      <c r="A159" s="1" t="s">
        <v>217</v>
      </c>
      <c r="B159" s="1" t="s">
        <v>55</v>
      </c>
      <c r="C159" s="1" t="s">
        <v>211</v>
      </c>
      <c r="D159" s="1" t="n">
        <v>6</v>
      </c>
      <c r="E159" s="1" t="n">
        <v>23</v>
      </c>
      <c r="F159" s="1" t="n">
        <f aca="false">SUMIFS(Raw_Data!$H$2:$H$1461,Raw_Data!$A$2:$A$1461,A159)</f>
        <v>138</v>
      </c>
      <c r="G159" s="1" t="n">
        <f aca="false">SUMIFS(Raw_Data!$I$2:$I$1461,Raw_Data!$A$2:$A$1461,A159)</f>
        <v>14041.18</v>
      </c>
      <c r="H159" s="1" t="n">
        <v>300</v>
      </c>
      <c r="I159" s="7" t="n">
        <f aca="false">F159/H159</f>
        <v>0.46</v>
      </c>
      <c r="J159" s="8" t="n">
        <f aca="false">IFERROR(G159/F159,0)</f>
        <v>101.74768115942</v>
      </c>
      <c r="K159" s="8" t="n">
        <f aca="false">G159/H159</f>
        <v>46.8039333333333</v>
      </c>
    </row>
    <row r="160" customFormat="false" ht="15" hidden="false" customHeight="true" outlineLevel="0" collapsed="false">
      <c r="A160" s="1" t="s">
        <v>218</v>
      </c>
      <c r="B160" s="1" t="s">
        <v>57</v>
      </c>
      <c r="C160" s="1" t="s">
        <v>211</v>
      </c>
      <c r="D160" s="1" t="n">
        <v>6</v>
      </c>
      <c r="E160" s="1" t="n">
        <v>23</v>
      </c>
      <c r="F160" s="1" t="n">
        <f aca="false">SUMIFS(Raw_Data!$H$2:$H$1461,Raw_Data!$A$2:$A$1461,A160)</f>
        <v>139</v>
      </c>
      <c r="G160" s="1" t="n">
        <f aca="false">SUMIFS(Raw_Data!$I$2:$I$1461,Raw_Data!$A$2:$A$1461,A160)</f>
        <v>13980.54</v>
      </c>
      <c r="H160" s="1" t="n">
        <v>300</v>
      </c>
      <c r="I160" s="7" t="n">
        <f aca="false">F160/H160</f>
        <v>0.463333333333333</v>
      </c>
      <c r="J160" s="8" t="n">
        <f aca="false">IFERROR(G160/F160,0)</f>
        <v>100.579424460432</v>
      </c>
      <c r="K160" s="8" t="n">
        <f aca="false">G160/H160</f>
        <v>46.6018</v>
      </c>
    </row>
    <row r="161" customFormat="false" ht="15" hidden="false" customHeight="true" outlineLevel="0" collapsed="false">
      <c r="A161" s="1" t="s">
        <v>219</v>
      </c>
      <c r="B161" s="1" t="s">
        <v>59</v>
      </c>
      <c r="C161" s="1" t="s">
        <v>211</v>
      </c>
      <c r="D161" s="1" t="n">
        <v>6</v>
      </c>
      <c r="E161" s="1" t="n">
        <v>24</v>
      </c>
      <c r="F161" s="1" t="n">
        <f aca="false">SUMIFS(Raw_Data!$H$2:$H$1461,Raw_Data!$A$2:$A$1461,A161)</f>
        <v>187</v>
      </c>
      <c r="G161" s="1" t="n">
        <f aca="false">SUMIFS(Raw_Data!$I$2:$I$1461,Raw_Data!$A$2:$A$1461,A161)</f>
        <v>20263.29</v>
      </c>
      <c r="H161" s="1" t="n">
        <v>300</v>
      </c>
      <c r="I161" s="7" t="n">
        <f aca="false">F161/H161</f>
        <v>0.623333333333333</v>
      </c>
      <c r="J161" s="8" t="n">
        <f aca="false">IFERROR(G161/F161,0)</f>
        <v>108.359839572193</v>
      </c>
      <c r="K161" s="8" t="n">
        <f aca="false">G161/H161</f>
        <v>67.5443</v>
      </c>
    </row>
    <row r="162" customFormat="false" ht="15" hidden="false" customHeight="true" outlineLevel="0" collapsed="false">
      <c r="A162" s="1" t="s">
        <v>220</v>
      </c>
      <c r="B162" s="1" t="s">
        <v>61</v>
      </c>
      <c r="C162" s="1" t="s">
        <v>211</v>
      </c>
      <c r="D162" s="1" t="n">
        <v>6</v>
      </c>
      <c r="E162" s="1" t="n">
        <v>24</v>
      </c>
      <c r="F162" s="1" t="n">
        <f aca="false">SUMIFS(Raw_Data!$H$2:$H$1461,Raw_Data!$A$2:$A$1461,A162)</f>
        <v>182</v>
      </c>
      <c r="G162" s="1" t="n">
        <f aca="false">SUMIFS(Raw_Data!$I$2:$I$1461,Raw_Data!$A$2:$A$1461,A162)</f>
        <v>20097.17</v>
      </c>
      <c r="H162" s="1" t="n">
        <v>300</v>
      </c>
      <c r="I162" s="7" t="n">
        <f aca="false">F162/H162</f>
        <v>0.606666666666667</v>
      </c>
      <c r="J162" s="8" t="n">
        <f aca="false">IFERROR(G162/F162,0)</f>
        <v>110.424010989011</v>
      </c>
      <c r="K162" s="8" t="n">
        <f aca="false">G162/H162</f>
        <v>66.9905666666667</v>
      </c>
    </row>
    <row r="163" customFormat="false" ht="15" hidden="false" customHeight="true" outlineLevel="0" collapsed="false">
      <c r="A163" s="1" t="s">
        <v>221</v>
      </c>
      <c r="B163" s="1" t="s">
        <v>41</v>
      </c>
      <c r="C163" s="1" t="s">
        <v>211</v>
      </c>
      <c r="D163" s="1" t="n">
        <v>6</v>
      </c>
      <c r="E163" s="1" t="n">
        <v>24</v>
      </c>
      <c r="F163" s="1" t="n">
        <f aca="false">SUMIFS(Raw_Data!$H$2:$H$1461,Raw_Data!$A$2:$A$1461,A163)</f>
        <v>177</v>
      </c>
      <c r="G163" s="1" t="n">
        <f aca="false">SUMIFS(Raw_Data!$I$2:$I$1461,Raw_Data!$A$2:$A$1461,A163)</f>
        <v>18449.64</v>
      </c>
      <c r="H163" s="1" t="n">
        <v>300</v>
      </c>
      <c r="I163" s="7" t="n">
        <f aca="false">F163/H163</f>
        <v>0.59</v>
      </c>
      <c r="J163" s="8" t="n">
        <f aca="false">IFERROR(G163/F163,0)</f>
        <v>104.235254237288</v>
      </c>
      <c r="K163" s="8" t="n">
        <f aca="false">G163/H163</f>
        <v>61.4988</v>
      </c>
    </row>
    <row r="164" customFormat="false" ht="15" hidden="false" customHeight="true" outlineLevel="0" collapsed="false">
      <c r="A164" s="1" t="s">
        <v>222</v>
      </c>
      <c r="B164" s="1" t="s">
        <v>51</v>
      </c>
      <c r="C164" s="1" t="s">
        <v>211</v>
      </c>
      <c r="D164" s="1" t="n">
        <v>6</v>
      </c>
      <c r="E164" s="1" t="n">
        <v>24</v>
      </c>
      <c r="F164" s="1" t="n">
        <f aca="false">SUMIFS(Raw_Data!$H$2:$H$1461,Raw_Data!$A$2:$A$1461,A164)</f>
        <v>193</v>
      </c>
      <c r="G164" s="1" t="n">
        <f aca="false">SUMIFS(Raw_Data!$I$2:$I$1461,Raw_Data!$A$2:$A$1461,A164)</f>
        <v>21253.63</v>
      </c>
      <c r="H164" s="1" t="n">
        <v>300</v>
      </c>
      <c r="I164" s="7" t="n">
        <f aca="false">F164/H164</f>
        <v>0.643333333333333</v>
      </c>
      <c r="J164" s="8" t="n">
        <f aca="false">IFERROR(G164/F164,0)</f>
        <v>110.122435233161</v>
      </c>
      <c r="K164" s="8" t="n">
        <f aca="false">G164/H164</f>
        <v>70.8454333333333</v>
      </c>
    </row>
    <row r="165" customFormat="false" ht="15" hidden="false" customHeight="true" outlineLevel="0" collapsed="false">
      <c r="A165" s="1" t="s">
        <v>223</v>
      </c>
      <c r="B165" s="1" t="s">
        <v>53</v>
      </c>
      <c r="C165" s="1" t="s">
        <v>211</v>
      </c>
      <c r="D165" s="1" t="n">
        <v>6</v>
      </c>
      <c r="E165" s="1" t="n">
        <v>24</v>
      </c>
      <c r="F165" s="1" t="n">
        <f aca="false">SUMIFS(Raw_Data!$H$2:$H$1461,Raw_Data!$A$2:$A$1461,A165)</f>
        <v>195</v>
      </c>
      <c r="G165" s="1" t="n">
        <f aca="false">SUMIFS(Raw_Data!$I$2:$I$1461,Raw_Data!$A$2:$A$1461,A165)</f>
        <v>21071.06</v>
      </c>
      <c r="H165" s="1" t="n">
        <v>300</v>
      </c>
      <c r="I165" s="7" t="n">
        <f aca="false">F165/H165</f>
        <v>0.65</v>
      </c>
      <c r="J165" s="8" t="n">
        <f aca="false">IFERROR(G165/F165,0)</f>
        <v>108.056717948718</v>
      </c>
      <c r="K165" s="8" t="n">
        <f aca="false">G165/H165</f>
        <v>70.2368666666667</v>
      </c>
    </row>
    <row r="166" customFormat="false" ht="15" hidden="false" customHeight="true" outlineLevel="0" collapsed="false">
      <c r="A166" s="1" t="s">
        <v>224</v>
      </c>
      <c r="B166" s="1" t="s">
        <v>55</v>
      </c>
      <c r="C166" s="1" t="s">
        <v>211</v>
      </c>
      <c r="D166" s="1" t="n">
        <v>6</v>
      </c>
      <c r="E166" s="1" t="n">
        <v>24</v>
      </c>
      <c r="F166" s="1" t="n">
        <f aca="false">SUMIFS(Raw_Data!$H$2:$H$1461,Raw_Data!$A$2:$A$1461,A166)</f>
        <v>135</v>
      </c>
      <c r="G166" s="1" t="n">
        <f aca="false">SUMIFS(Raw_Data!$I$2:$I$1461,Raw_Data!$A$2:$A$1461,A166)</f>
        <v>13489.49</v>
      </c>
      <c r="H166" s="1" t="n">
        <v>300</v>
      </c>
      <c r="I166" s="7" t="n">
        <f aca="false">F166/H166</f>
        <v>0.45</v>
      </c>
      <c r="J166" s="8" t="n">
        <f aca="false">IFERROR(G166/F166,0)</f>
        <v>99.9221481481482</v>
      </c>
      <c r="K166" s="8" t="n">
        <f aca="false">G166/H166</f>
        <v>44.9649666666667</v>
      </c>
    </row>
    <row r="167" customFormat="false" ht="15" hidden="false" customHeight="true" outlineLevel="0" collapsed="false">
      <c r="A167" s="1" t="s">
        <v>225</v>
      </c>
      <c r="B167" s="1" t="s">
        <v>57</v>
      </c>
      <c r="C167" s="1" t="s">
        <v>211</v>
      </c>
      <c r="D167" s="1" t="n">
        <v>6</v>
      </c>
      <c r="E167" s="1" t="n">
        <v>24</v>
      </c>
      <c r="F167" s="1" t="n">
        <f aca="false">SUMIFS(Raw_Data!$H$2:$H$1461,Raw_Data!$A$2:$A$1461,A167)</f>
        <v>133</v>
      </c>
      <c r="G167" s="1" t="n">
        <f aca="false">SUMIFS(Raw_Data!$I$2:$I$1461,Raw_Data!$A$2:$A$1461,A167)</f>
        <v>13771.28</v>
      </c>
      <c r="H167" s="1" t="n">
        <v>300</v>
      </c>
      <c r="I167" s="7" t="n">
        <f aca="false">F167/H167</f>
        <v>0.443333333333333</v>
      </c>
      <c r="J167" s="8" t="n">
        <f aca="false">IFERROR(G167/F167,0)</f>
        <v>103.543458646617</v>
      </c>
      <c r="K167" s="8" t="n">
        <f aca="false">G167/H167</f>
        <v>45.9042666666667</v>
      </c>
    </row>
    <row r="168" customFormat="false" ht="15" hidden="false" customHeight="true" outlineLevel="0" collapsed="false">
      <c r="A168" s="1" t="s">
        <v>226</v>
      </c>
      <c r="B168" s="1" t="s">
        <v>59</v>
      </c>
      <c r="C168" s="1" t="s">
        <v>211</v>
      </c>
      <c r="D168" s="1" t="n">
        <v>6</v>
      </c>
      <c r="E168" s="1" t="n">
        <v>25</v>
      </c>
      <c r="F168" s="1" t="n">
        <f aca="false">SUMIFS(Raw_Data!$H$2:$H$1461,Raw_Data!$A$2:$A$1461,A168)</f>
        <v>179</v>
      </c>
      <c r="G168" s="1" t="n">
        <f aca="false">SUMIFS(Raw_Data!$I$2:$I$1461,Raw_Data!$A$2:$A$1461,A168)</f>
        <v>20395.17</v>
      </c>
      <c r="H168" s="1" t="n">
        <v>300</v>
      </c>
      <c r="I168" s="7" t="n">
        <f aca="false">F168/H168</f>
        <v>0.596666666666667</v>
      </c>
      <c r="J168" s="8" t="n">
        <f aca="false">IFERROR(G168/F168,0)</f>
        <v>113.939497206704</v>
      </c>
      <c r="K168" s="8" t="n">
        <f aca="false">G168/H168</f>
        <v>67.9839</v>
      </c>
    </row>
    <row r="169" customFormat="false" ht="15" hidden="false" customHeight="true" outlineLevel="0" collapsed="false">
      <c r="A169" s="1" t="s">
        <v>227</v>
      </c>
      <c r="B169" s="1" t="s">
        <v>61</v>
      </c>
      <c r="C169" s="1" t="s">
        <v>211</v>
      </c>
      <c r="D169" s="1" t="n">
        <v>6</v>
      </c>
      <c r="E169" s="1" t="n">
        <v>25</v>
      </c>
      <c r="F169" s="1" t="n">
        <f aca="false">SUMIFS(Raw_Data!$H$2:$H$1461,Raw_Data!$A$2:$A$1461,A169)</f>
        <v>183</v>
      </c>
      <c r="G169" s="1" t="n">
        <f aca="false">SUMIFS(Raw_Data!$I$2:$I$1461,Raw_Data!$A$2:$A$1461,A169)</f>
        <v>20122.36</v>
      </c>
      <c r="H169" s="1" t="n">
        <v>300</v>
      </c>
      <c r="I169" s="7" t="n">
        <f aca="false">F169/H169</f>
        <v>0.61</v>
      </c>
      <c r="J169" s="8" t="n">
        <f aca="false">IFERROR(G169/F169,0)</f>
        <v>109.95825136612</v>
      </c>
      <c r="K169" s="8" t="n">
        <f aca="false">G169/H169</f>
        <v>67.0745333333333</v>
      </c>
    </row>
    <row r="170" customFormat="false" ht="15" hidden="false" customHeight="true" outlineLevel="0" collapsed="false">
      <c r="A170" s="1" t="s">
        <v>228</v>
      </c>
      <c r="B170" s="1" t="s">
        <v>41</v>
      </c>
      <c r="C170" s="1" t="s">
        <v>211</v>
      </c>
      <c r="D170" s="1" t="n">
        <v>6</v>
      </c>
      <c r="E170" s="1" t="n">
        <v>25</v>
      </c>
      <c r="F170" s="1" t="n">
        <f aca="false">SUMIFS(Raw_Data!$H$2:$H$1461,Raw_Data!$A$2:$A$1461,A170)</f>
        <v>184</v>
      </c>
      <c r="G170" s="1" t="n">
        <f aca="false">SUMIFS(Raw_Data!$I$2:$I$1461,Raw_Data!$A$2:$A$1461,A170)</f>
        <v>19093.31</v>
      </c>
      <c r="H170" s="1" t="n">
        <v>300</v>
      </c>
      <c r="I170" s="7" t="n">
        <f aca="false">F170/H170</f>
        <v>0.613333333333333</v>
      </c>
      <c r="J170" s="8" t="n">
        <f aca="false">IFERROR(G170/F170,0)</f>
        <v>103.767989130435</v>
      </c>
      <c r="K170" s="8" t="n">
        <f aca="false">G170/H170</f>
        <v>63.6443666666667</v>
      </c>
    </row>
    <row r="171" customFormat="false" ht="15" hidden="false" customHeight="true" outlineLevel="0" collapsed="false">
      <c r="A171" s="1" t="s">
        <v>229</v>
      </c>
      <c r="B171" s="1" t="s">
        <v>51</v>
      </c>
      <c r="C171" s="1" t="s">
        <v>211</v>
      </c>
      <c r="D171" s="1" t="n">
        <v>6</v>
      </c>
      <c r="E171" s="1" t="n">
        <v>25</v>
      </c>
      <c r="F171" s="1" t="n">
        <f aca="false">SUMIFS(Raw_Data!$H$2:$H$1461,Raw_Data!$A$2:$A$1461,A171)</f>
        <v>185</v>
      </c>
      <c r="G171" s="1" t="n">
        <f aca="false">SUMIFS(Raw_Data!$I$2:$I$1461,Raw_Data!$A$2:$A$1461,A171)</f>
        <v>20927.87</v>
      </c>
      <c r="H171" s="1" t="n">
        <v>300</v>
      </c>
      <c r="I171" s="7" t="n">
        <f aca="false">F171/H171</f>
        <v>0.616666666666667</v>
      </c>
      <c r="J171" s="8" t="n">
        <f aca="false">IFERROR(G171/F171,0)</f>
        <v>113.123621621622</v>
      </c>
      <c r="K171" s="8" t="n">
        <f aca="false">G171/H171</f>
        <v>69.7595666666667</v>
      </c>
    </row>
    <row r="172" customFormat="false" ht="15" hidden="false" customHeight="true" outlineLevel="0" collapsed="false">
      <c r="A172" s="1" t="s">
        <v>230</v>
      </c>
      <c r="B172" s="1" t="s">
        <v>53</v>
      </c>
      <c r="C172" s="1" t="s">
        <v>211</v>
      </c>
      <c r="D172" s="1" t="n">
        <v>6</v>
      </c>
      <c r="E172" s="1" t="n">
        <v>25</v>
      </c>
      <c r="F172" s="1" t="n">
        <f aca="false">SUMIFS(Raw_Data!$H$2:$H$1461,Raw_Data!$A$2:$A$1461,A172)</f>
        <v>189</v>
      </c>
      <c r="G172" s="1" t="n">
        <f aca="false">SUMIFS(Raw_Data!$I$2:$I$1461,Raw_Data!$A$2:$A$1461,A172)</f>
        <v>20912.33</v>
      </c>
      <c r="H172" s="1" t="n">
        <v>300</v>
      </c>
      <c r="I172" s="7" t="n">
        <f aca="false">F172/H172</f>
        <v>0.63</v>
      </c>
      <c r="J172" s="8" t="n">
        <f aca="false">IFERROR(G172/F172,0)</f>
        <v>110.647248677249</v>
      </c>
      <c r="K172" s="8" t="n">
        <f aca="false">G172/H172</f>
        <v>69.7077666666667</v>
      </c>
    </row>
    <row r="173" customFormat="false" ht="15" hidden="false" customHeight="true" outlineLevel="0" collapsed="false">
      <c r="A173" s="1" t="s">
        <v>231</v>
      </c>
      <c r="B173" s="1" t="s">
        <v>55</v>
      </c>
      <c r="C173" s="1" t="s">
        <v>211</v>
      </c>
      <c r="D173" s="1" t="n">
        <v>6</v>
      </c>
      <c r="E173" s="1" t="n">
        <v>25</v>
      </c>
      <c r="F173" s="1" t="n">
        <f aca="false">SUMIFS(Raw_Data!$H$2:$H$1461,Raw_Data!$A$2:$A$1461,A173)</f>
        <v>137</v>
      </c>
      <c r="G173" s="1" t="n">
        <f aca="false">SUMIFS(Raw_Data!$I$2:$I$1461,Raw_Data!$A$2:$A$1461,A173)</f>
        <v>14358.53</v>
      </c>
      <c r="H173" s="1" t="n">
        <v>300</v>
      </c>
      <c r="I173" s="7" t="n">
        <f aca="false">F173/H173</f>
        <v>0.456666666666667</v>
      </c>
      <c r="J173" s="8" t="n">
        <f aca="false">IFERROR(G173/F173,0)</f>
        <v>104.806788321168</v>
      </c>
      <c r="K173" s="8" t="n">
        <f aca="false">G173/H173</f>
        <v>47.8617666666667</v>
      </c>
    </row>
    <row r="174" customFormat="false" ht="15" hidden="false" customHeight="true" outlineLevel="0" collapsed="false">
      <c r="A174" s="1" t="s">
        <v>232</v>
      </c>
      <c r="B174" s="1" t="s">
        <v>57</v>
      </c>
      <c r="C174" s="1" t="s">
        <v>211</v>
      </c>
      <c r="D174" s="1" t="n">
        <v>6</v>
      </c>
      <c r="E174" s="1" t="n">
        <v>25</v>
      </c>
      <c r="F174" s="1" t="n">
        <f aca="false">SUMIFS(Raw_Data!$H$2:$H$1461,Raw_Data!$A$2:$A$1461,A174)</f>
        <v>140</v>
      </c>
      <c r="G174" s="1" t="n">
        <f aca="false">SUMIFS(Raw_Data!$I$2:$I$1461,Raw_Data!$A$2:$A$1461,A174)</f>
        <v>14844.28</v>
      </c>
      <c r="H174" s="1" t="n">
        <v>300</v>
      </c>
      <c r="I174" s="7" t="n">
        <f aca="false">F174/H174</f>
        <v>0.466666666666667</v>
      </c>
      <c r="J174" s="8" t="n">
        <f aca="false">IFERROR(G174/F174,0)</f>
        <v>106.030571428571</v>
      </c>
      <c r="K174" s="8" t="n">
        <f aca="false">G174/H174</f>
        <v>49.4809333333333</v>
      </c>
    </row>
    <row r="175" customFormat="false" ht="15" hidden="false" customHeight="true" outlineLevel="0" collapsed="false">
      <c r="A175" s="1" t="s">
        <v>233</v>
      </c>
      <c r="B175" s="1" t="s">
        <v>59</v>
      </c>
      <c r="C175" s="1" t="s">
        <v>211</v>
      </c>
      <c r="D175" s="1" t="n">
        <v>6</v>
      </c>
      <c r="E175" s="1" t="n">
        <v>26</v>
      </c>
      <c r="F175" s="1" t="n">
        <f aca="false">SUMIFS(Raw_Data!$H$2:$H$1461,Raw_Data!$A$2:$A$1461,A175)</f>
        <v>197</v>
      </c>
      <c r="G175" s="1" t="n">
        <f aca="false">SUMIFS(Raw_Data!$I$2:$I$1461,Raw_Data!$A$2:$A$1461,A175)</f>
        <v>21976.8</v>
      </c>
      <c r="H175" s="1" t="n">
        <v>300</v>
      </c>
      <c r="I175" s="7" t="n">
        <f aca="false">F175/H175</f>
        <v>0.656666666666667</v>
      </c>
      <c r="J175" s="8" t="n">
        <f aca="false">IFERROR(G175/F175,0)</f>
        <v>111.557360406091</v>
      </c>
      <c r="K175" s="8" t="n">
        <f aca="false">G175/H175</f>
        <v>73.256</v>
      </c>
    </row>
    <row r="176" customFormat="false" ht="15" hidden="false" customHeight="true" outlineLevel="0" collapsed="false">
      <c r="A176" s="1" t="s">
        <v>234</v>
      </c>
      <c r="B176" s="1" t="s">
        <v>61</v>
      </c>
      <c r="C176" s="1" t="s">
        <v>211</v>
      </c>
      <c r="D176" s="1" t="n">
        <v>6</v>
      </c>
      <c r="E176" s="1" t="n">
        <v>26</v>
      </c>
      <c r="F176" s="1" t="n">
        <f aca="false">SUMIFS(Raw_Data!$H$2:$H$1461,Raw_Data!$A$2:$A$1461,A176)</f>
        <v>205</v>
      </c>
      <c r="G176" s="1" t="n">
        <f aca="false">SUMIFS(Raw_Data!$I$2:$I$1461,Raw_Data!$A$2:$A$1461,A176)</f>
        <v>22639.24</v>
      </c>
      <c r="H176" s="1" t="n">
        <v>300</v>
      </c>
      <c r="I176" s="7" t="n">
        <f aca="false">F176/H176</f>
        <v>0.683333333333333</v>
      </c>
      <c r="J176" s="8" t="n">
        <f aca="false">IFERROR(G176/F176,0)</f>
        <v>110.435317073171</v>
      </c>
      <c r="K176" s="8" t="n">
        <f aca="false">G176/H176</f>
        <v>75.4641333333333</v>
      </c>
    </row>
    <row r="177" customFormat="false" ht="15" hidden="false" customHeight="true" outlineLevel="0" collapsed="false">
      <c r="A177" s="1" t="s">
        <v>235</v>
      </c>
      <c r="B177" s="1" t="s">
        <v>41</v>
      </c>
      <c r="C177" s="1" t="s">
        <v>211</v>
      </c>
      <c r="D177" s="1" t="n">
        <v>6</v>
      </c>
      <c r="E177" s="1" t="n">
        <v>26</v>
      </c>
      <c r="F177" s="1" t="n">
        <f aca="false">SUMIFS(Raw_Data!$H$2:$H$1461,Raw_Data!$A$2:$A$1461,A177)</f>
        <v>178</v>
      </c>
      <c r="G177" s="1" t="n">
        <f aca="false">SUMIFS(Raw_Data!$I$2:$I$1461,Raw_Data!$A$2:$A$1461,A177)</f>
        <v>20130.58</v>
      </c>
      <c r="H177" s="1" t="n">
        <v>300</v>
      </c>
      <c r="I177" s="7" t="n">
        <f aca="false">F177/H177</f>
        <v>0.593333333333333</v>
      </c>
      <c r="J177" s="8" t="n">
        <f aca="false">IFERROR(G177/F177,0)</f>
        <v>113.093146067416</v>
      </c>
      <c r="K177" s="8" t="n">
        <f aca="false">G177/H177</f>
        <v>67.1019333333333</v>
      </c>
    </row>
    <row r="178" customFormat="false" ht="15" hidden="false" customHeight="true" outlineLevel="0" collapsed="false">
      <c r="A178" s="1" t="s">
        <v>236</v>
      </c>
      <c r="B178" s="1" t="s">
        <v>51</v>
      </c>
      <c r="C178" s="1" t="s">
        <v>211</v>
      </c>
      <c r="D178" s="1" t="n">
        <v>6</v>
      </c>
      <c r="E178" s="1" t="n">
        <v>26</v>
      </c>
      <c r="F178" s="1" t="n">
        <f aca="false">SUMIFS(Raw_Data!$H$2:$H$1461,Raw_Data!$A$2:$A$1461,A178)</f>
        <v>186</v>
      </c>
      <c r="G178" s="1" t="n">
        <f aca="false">SUMIFS(Raw_Data!$I$2:$I$1461,Raw_Data!$A$2:$A$1461,A178)</f>
        <v>20955.17</v>
      </c>
      <c r="H178" s="1" t="n">
        <v>300</v>
      </c>
      <c r="I178" s="7" t="n">
        <f aca="false">F178/H178</f>
        <v>0.62</v>
      </c>
      <c r="J178" s="8" t="n">
        <f aca="false">IFERROR(G178/F178,0)</f>
        <v>112.662204301075</v>
      </c>
      <c r="K178" s="8" t="n">
        <f aca="false">G178/H178</f>
        <v>69.8505666666667</v>
      </c>
    </row>
    <row r="179" customFormat="false" ht="15" hidden="false" customHeight="true" outlineLevel="0" collapsed="false">
      <c r="A179" s="1" t="s">
        <v>237</v>
      </c>
      <c r="B179" s="1" t="s">
        <v>53</v>
      </c>
      <c r="C179" s="1" t="s">
        <v>211</v>
      </c>
      <c r="D179" s="1" t="n">
        <v>6</v>
      </c>
      <c r="E179" s="1" t="n">
        <v>26</v>
      </c>
      <c r="F179" s="1" t="n">
        <f aca="false">SUMIFS(Raw_Data!$H$2:$H$1461,Raw_Data!$A$2:$A$1461,A179)</f>
        <v>191</v>
      </c>
      <c r="G179" s="1" t="n">
        <f aca="false">SUMIFS(Raw_Data!$I$2:$I$1461,Raw_Data!$A$2:$A$1461,A179)</f>
        <v>21406.96</v>
      </c>
      <c r="H179" s="1" t="n">
        <v>300</v>
      </c>
      <c r="I179" s="7" t="n">
        <f aca="false">F179/H179</f>
        <v>0.636666666666667</v>
      </c>
      <c r="J179" s="8" t="n">
        <f aca="false">IFERROR(G179/F179,0)</f>
        <v>112.07832460733</v>
      </c>
      <c r="K179" s="8" t="n">
        <f aca="false">G179/H179</f>
        <v>71.3565333333333</v>
      </c>
    </row>
    <row r="180" customFormat="false" ht="15" hidden="false" customHeight="true" outlineLevel="0" collapsed="false">
      <c r="A180" s="1" t="s">
        <v>238</v>
      </c>
      <c r="B180" s="1" t="s">
        <v>55</v>
      </c>
      <c r="C180" s="1" t="s">
        <v>211</v>
      </c>
      <c r="D180" s="1" t="n">
        <v>6</v>
      </c>
      <c r="E180" s="1" t="n">
        <v>26</v>
      </c>
      <c r="F180" s="1" t="n">
        <f aca="false">SUMIFS(Raw_Data!$H$2:$H$1461,Raw_Data!$A$2:$A$1461,A180)</f>
        <v>146</v>
      </c>
      <c r="G180" s="1" t="n">
        <f aca="false">SUMIFS(Raw_Data!$I$2:$I$1461,Raw_Data!$A$2:$A$1461,A180)</f>
        <v>14432.22</v>
      </c>
      <c r="H180" s="1" t="n">
        <v>300</v>
      </c>
      <c r="I180" s="7" t="n">
        <f aca="false">F180/H180</f>
        <v>0.486666666666667</v>
      </c>
      <c r="J180" s="8" t="n">
        <f aca="false">IFERROR(G180/F180,0)</f>
        <v>98.8508219178082</v>
      </c>
      <c r="K180" s="8" t="n">
        <f aca="false">G180/H180</f>
        <v>48.1074</v>
      </c>
    </row>
    <row r="181" customFormat="false" ht="15" hidden="false" customHeight="true" outlineLevel="0" collapsed="false">
      <c r="A181" s="1" t="s">
        <v>239</v>
      </c>
      <c r="B181" s="1" t="s">
        <v>57</v>
      </c>
      <c r="C181" s="1" t="s">
        <v>211</v>
      </c>
      <c r="D181" s="1" t="n">
        <v>6</v>
      </c>
      <c r="E181" s="1" t="n">
        <v>26</v>
      </c>
      <c r="F181" s="1" t="n">
        <f aca="false">SUMIFS(Raw_Data!$H$2:$H$1461,Raw_Data!$A$2:$A$1461,A181)</f>
        <v>139</v>
      </c>
      <c r="G181" s="1" t="n">
        <f aca="false">SUMIFS(Raw_Data!$I$2:$I$1461,Raw_Data!$A$2:$A$1461,A181)</f>
        <v>14645.09</v>
      </c>
      <c r="H181" s="1" t="n">
        <v>300</v>
      </c>
      <c r="I181" s="7" t="n">
        <f aca="false">F181/H181</f>
        <v>0.463333333333333</v>
      </c>
      <c r="J181" s="8" t="n">
        <f aca="false">IFERROR(G181/F181,0)</f>
        <v>105.36035971223</v>
      </c>
      <c r="K181" s="8" t="n">
        <f aca="false">G181/H181</f>
        <v>48.8169666666667</v>
      </c>
    </row>
    <row r="182" customFormat="false" ht="15" hidden="false" customHeight="true" outlineLevel="0" collapsed="false">
      <c r="A182" s="1" t="s">
        <v>240</v>
      </c>
      <c r="B182" s="1" t="s">
        <v>59</v>
      </c>
      <c r="C182" s="1" t="s">
        <v>211</v>
      </c>
      <c r="D182" s="1" t="n">
        <v>6</v>
      </c>
      <c r="E182" s="1" t="n">
        <v>27</v>
      </c>
      <c r="F182" s="1" t="n">
        <f aca="false">SUMIFS(Raw_Data!$H$2:$H$1461,Raw_Data!$A$2:$A$1461,A182)</f>
        <v>193</v>
      </c>
      <c r="G182" s="1" t="n">
        <f aca="false">SUMIFS(Raw_Data!$I$2:$I$1461,Raw_Data!$A$2:$A$1461,A182)</f>
        <v>22097.72</v>
      </c>
      <c r="H182" s="1" t="n">
        <v>300</v>
      </c>
      <c r="I182" s="7" t="n">
        <f aca="false">F182/H182</f>
        <v>0.643333333333333</v>
      </c>
      <c r="J182" s="8" t="n">
        <f aca="false">IFERROR(G182/F182,0)</f>
        <v>114.495958549223</v>
      </c>
      <c r="K182" s="8" t="n">
        <f aca="false">G182/H182</f>
        <v>73.6590666666667</v>
      </c>
    </row>
    <row r="183" customFormat="false" ht="15" hidden="false" customHeight="true" outlineLevel="0" collapsed="false">
      <c r="A183" s="1" t="s">
        <v>241</v>
      </c>
      <c r="B183" s="1" t="s">
        <v>61</v>
      </c>
      <c r="C183" s="1" t="s">
        <v>242</v>
      </c>
      <c r="D183" s="1" t="n">
        <v>7</v>
      </c>
      <c r="E183" s="1" t="n">
        <v>27</v>
      </c>
      <c r="F183" s="1" t="n">
        <f aca="false">SUMIFS(Raw_Data!$H$2:$H$1461,Raw_Data!$A$2:$A$1461,A183)</f>
        <v>177</v>
      </c>
      <c r="G183" s="1" t="n">
        <f aca="false">SUMIFS(Raw_Data!$I$2:$I$1461,Raw_Data!$A$2:$A$1461,A183)</f>
        <v>19194.63</v>
      </c>
      <c r="H183" s="1" t="n">
        <v>300</v>
      </c>
      <c r="I183" s="7" t="n">
        <f aca="false">F183/H183</f>
        <v>0.59</v>
      </c>
      <c r="J183" s="8" t="n">
        <f aca="false">IFERROR(G183/F183,0)</f>
        <v>108.444237288136</v>
      </c>
      <c r="K183" s="8" t="n">
        <f aca="false">G183/H183</f>
        <v>63.9821</v>
      </c>
    </row>
    <row r="184" customFormat="false" ht="15" hidden="false" customHeight="true" outlineLevel="0" collapsed="false">
      <c r="A184" s="1" t="s">
        <v>243</v>
      </c>
      <c r="B184" s="1" t="s">
        <v>41</v>
      </c>
      <c r="C184" s="1" t="s">
        <v>242</v>
      </c>
      <c r="D184" s="1" t="n">
        <v>7</v>
      </c>
      <c r="E184" s="1" t="n">
        <v>27</v>
      </c>
      <c r="F184" s="1" t="n">
        <f aca="false">SUMIFS(Raw_Data!$H$2:$H$1461,Raw_Data!$A$2:$A$1461,A184)</f>
        <v>171</v>
      </c>
      <c r="G184" s="1" t="n">
        <f aca="false">SUMIFS(Raw_Data!$I$2:$I$1461,Raw_Data!$A$2:$A$1461,A184)</f>
        <v>18254.21</v>
      </c>
      <c r="H184" s="1" t="n">
        <v>300</v>
      </c>
      <c r="I184" s="7" t="n">
        <f aca="false">F184/H184</f>
        <v>0.57</v>
      </c>
      <c r="J184" s="8" t="n">
        <f aca="false">IFERROR(G184/F184,0)</f>
        <v>106.749766081871</v>
      </c>
      <c r="K184" s="8" t="n">
        <f aca="false">G184/H184</f>
        <v>60.8473666666667</v>
      </c>
    </row>
    <row r="185" customFormat="false" ht="15" hidden="false" customHeight="true" outlineLevel="0" collapsed="false">
      <c r="A185" s="1" t="s">
        <v>244</v>
      </c>
      <c r="B185" s="1" t="s">
        <v>51</v>
      </c>
      <c r="C185" s="1" t="s">
        <v>242</v>
      </c>
      <c r="D185" s="1" t="n">
        <v>7</v>
      </c>
      <c r="E185" s="1" t="n">
        <v>27</v>
      </c>
      <c r="F185" s="1" t="n">
        <f aca="false">SUMIFS(Raw_Data!$H$2:$H$1461,Raw_Data!$A$2:$A$1461,A185)</f>
        <v>164</v>
      </c>
      <c r="G185" s="1" t="n">
        <f aca="false">SUMIFS(Raw_Data!$I$2:$I$1461,Raw_Data!$A$2:$A$1461,A185)</f>
        <v>17683.48</v>
      </c>
      <c r="H185" s="1" t="n">
        <v>300</v>
      </c>
      <c r="I185" s="7" t="n">
        <f aca="false">F185/H185</f>
        <v>0.546666666666667</v>
      </c>
      <c r="J185" s="8" t="n">
        <f aca="false">IFERROR(G185/F185,0)</f>
        <v>107.826097560976</v>
      </c>
      <c r="K185" s="8" t="n">
        <f aca="false">G185/H185</f>
        <v>58.9449333333333</v>
      </c>
    </row>
    <row r="186" customFormat="false" ht="15" hidden="false" customHeight="true" outlineLevel="0" collapsed="false">
      <c r="A186" s="1" t="s">
        <v>245</v>
      </c>
      <c r="B186" s="1" t="s">
        <v>53</v>
      </c>
      <c r="C186" s="1" t="s">
        <v>242</v>
      </c>
      <c r="D186" s="1" t="n">
        <v>7</v>
      </c>
      <c r="E186" s="1" t="n">
        <v>27</v>
      </c>
      <c r="F186" s="1" t="n">
        <f aca="false">SUMIFS(Raw_Data!$H$2:$H$1461,Raw_Data!$A$2:$A$1461,A186)</f>
        <v>159</v>
      </c>
      <c r="G186" s="1" t="n">
        <f aca="false">SUMIFS(Raw_Data!$I$2:$I$1461,Raw_Data!$A$2:$A$1461,A186)</f>
        <v>17004.4</v>
      </c>
      <c r="H186" s="1" t="n">
        <v>300</v>
      </c>
      <c r="I186" s="7" t="n">
        <f aca="false">F186/H186</f>
        <v>0.53</v>
      </c>
      <c r="J186" s="8" t="n">
        <f aca="false">IFERROR(G186/F186,0)</f>
        <v>106.945911949686</v>
      </c>
      <c r="K186" s="8" t="n">
        <f aca="false">G186/H186</f>
        <v>56.6813333333333</v>
      </c>
    </row>
    <row r="187" customFormat="false" ht="15" hidden="false" customHeight="true" outlineLevel="0" collapsed="false">
      <c r="A187" s="1" t="s">
        <v>246</v>
      </c>
      <c r="B187" s="1" t="s">
        <v>55</v>
      </c>
      <c r="C187" s="1" t="s">
        <v>242</v>
      </c>
      <c r="D187" s="1" t="n">
        <v>7</v>
      </c>
      <c r="E187" s="1" t="n">
        <v>27</v>
      </c>
      <c r="F187" s="1" t="n">
        <f aca="false">SUMIFS(Raw_Data!$H$2:$H$1461,Raw_Data!$A$2:$A$1461,A187)</f>
        <v>124</v>
      </c>
      <c r="G187" s="1" t="n">
        <f aca="false">SUMIFS(Raw_Data!$I$2:$I$1461,Raw_Data!$A$2:$A$1461,A187)</f>
        <v>11969.48</v>
      </c>
      <c r="H187" s="1" t="n">
        <v>300</v>
      </c>
      <c r="I187" s="7" t="n">
        <f aca="false">F187/H187</f>
        <v>0.413333333333333</v>
      </c>
      <c r="J187" s="8" t="n">
        <f aca="false">IFERROR(G187/F187,0)</f>
        <v>96.528064516129</v>
      </c>
      <c r="K187" s="8" t="n">
        <f aca="false">G187/H187</f>
        <v>39.8982666666667</v>
      </c>
    </row>
    <row r="188" customFormat="false" ht="15" hidden="false" customHeight="true" outlineLevel="0" collapsed="false">
      <c r="A188" s="1" t="s">
        <v>247</v>
      </c>
      <c r="B188" s="1" t="s">
        <v>57</v>
      </c>
      <c r="C188" s="1" t="s">
        <v>242</v>
      </c>
      <c r="D188" s="1" t="n">
        <v>7</v>
      </c>
      <c r="E188" s="1" t="n">
        <v>27</v>
      </c>
      <c r="F188" s="1" t="n">
        <f aca="false">SUMIFS(Raw_Data!$H$2:$H$1461,Raw_Data!$A$2:$A$1461,A188)</f>
        <v>120</v>
      </c>
      <c r="G188" s="1" t="n">
        <f aca="false">SUMIFS(Raw_Data!$I$2:$I$1461,Raw_Data!$A$2:$A$1461,A188)</f>
        <v>13145.41</v>
      </c>
      <c r="H188" s="1" t="n">
        <v>300</v>
      </c>
      <c r="I188" s="7" t="n">
        <f aca="false">F188/H188</f>
        <v>0.4</v>
      </c>
      <c r="J188" s="8" t="n">
        <f aca="false">IFERROR(G188/F188,0)</f>
        <v>109.545083333333</v>
      </c>
      <c r="K188" s="8" t="n">
        <f aca="false">G188/H188</f>
        <v>43.8180333333333</v>
      </c>
    </row>
    <row r="189" customFormat="false" ht="15" hidden="false" customHeight="true" outlineLevel="0" collapsed="false">
      <c r="A189" s="1" t="s">
        <v>248</v>
      </c>
      <c r="B189" s="1" t="s">
        <v>59</v>
      </c>
      <c r="C189" s="1" t="s">
        <v>242</v>
      </c>
      <c r="D189" s="1" t="n">
        <v>7</v>
      </c>
      <c r="E189" s="1" t="n">
        <v>28</v>
      </c>
      <c r="F189" s="1" t="n">
        <f aca="false">SUMIFS(Raw_Data!$H$2:$H$1461,Raw_Data!$A$2:$A$1461,A189)</f>
        <v>182</v>
      </c>
      <c r="G189" s="1" t="n">
        <f aca="false">SUMIFS(Raw_Data!$I$2:$I$1461,Raw_Data!$A$2:$A$1461,A189)</f>
        <v>20398.99</v>
      </c>
      <c r="H189" s="1" t="n">
        <v>300</v>
      </c>
      <c r="I189" s="7" t="n">
        <f aca="false">F189/H189</f>
        <v>0.606666666666667</v>
      </c>
      <c r="J189" s="8" t="n">
        <f aca="false">IFERROR(G189/F189,0)</f>
        <v>112.082362637363</v>
      </c>
      <c r="K189" s="8" t="n">
        <f aca="false">G189/H189</f>
        <v>67.9966333333333</v>
      </c>
    </row>
    <row r="190" customFormat="false" ht="15" hidden="false" customHeight="true" outlineLevel="0" collapsed="false">
      <c r="A190" s="1" t="s">
        <v>249</v>
      </c>
      <c r="B190" s="1" t="s">
        <v>61</v>
      </c>
      <c r="C190" s="1" t="s">
        <v>242</v>
      </c>
      <c r="D190" s="1" t="n">
        <v>7</v>
      </c>
      <c r="E190" s="1" t="n">
        <v>28</v>
      </c>
      <c r="F190" s="1" t="n">
        <f aca="false">SUMIFS(Raw_Data!$H$2:$H$1461,Raw_Data!$A$2:$A$1461,A190)</f>
        <v>162</v>
      </c>
      <c r="G190" s="1" t="n">
        <f aca="false">SUMIFS(Raw_Data!$I$2:$I$1461,Raw_Data!$A$2:$A$1461,A190)</f>
        <v>17256.85</v>
      </c>
      <c r="H190" s="1" t="n">
        <v>300</v>
      </c>
      <c r="I190" s="7" t="n">
        <f aca="false">F190/H190</f>
        <v>0.54</v>
      </c>
      <c r="J190" s="8" t="n">
        <f aca="false">IFERROR(G190/F190,0)</f>
        <v>106.523765432099</v>
      </c>
      <c r="K190" s="8" t="n">
        <f aca="false">G190/H190</f>
        <v>57.5228333333333</v>
      </c>
    </row>
    <row r="191" customFormat="false" ht="15" hidden="false" customHeight="true" outlineLevel="0" collapsed="false">
      <c r="A191" s="1" t="s">
        <v>250</v>
      </c>
      <c r="B191" s="1" t="s">
        <v>41</v>
      </c>
      <c r="C191" s="1" t="s">
        <v>242</v>
      </c>
      <c r="D191" s="1" t="n">
        <v>7</v>
      </c>
      <c r="E191" s="1" t="n">
        <v>28</v>
      </c>
      <c r="F191" s="1" t="n">
        <f aca="false">SUMIFS(Raw_Data!$H$2:$H$1461,Raw_Data!$A$2:$A$1461,A191)</f>
        <v>159</v>
      </c>
      <c r="G191" s="1" t="n">
        <f aca="false">SUMIFS(Raw_Data!$I$2:$I$1461,Raw_Data!$A$2:$A$1461,A191)</f>
        <v>16074.1</v>
      </c>
      <c r="H191" s="1" t="n">
        <v>300</v>
      </c>
      <c r="I191" s="7" t="n">
        <f aca="false">F191/H191</f>
        <v>0.53</v>
      </c>
      <c r="J191" s="8" t="n">
        <f aca="false">IFERROR(G191/F191,0)</f>
        <v>101.094968553459</v>
      </c>
      <c r="K191" s="8" t="n">
        <f aca="false">G191/H191</f>
        <v>53.5803333333333</v>
      </c>
    </row>
    <row r="192" customFormat="false" ht="15" hidden="false" customHeight="true" outlineLevel="0" collapsed="false">
      <c r="A192" s="1" t="s">
        <v>251</v>
      </c>
      <c r="B192" s="1" t="s">
        <v>51</v>
      </c>
      <c r="C192" s="1" t="s">
        <v>242</v>
      </c>
      <c r="D192" s="1" t="n">
        <v>7</v>
      </c>
      <c r="E192" s="1" t="n">
        <v>28</v>
      </c>
      <c r="F192" s="1" t="n">
        <f aca="false">SUMIFS(Raw_Data!$H$2:$H$1461,Raw_Data!$A$2:$A$1461,A192)</f>
        <v>178</v>
      </c>
      <c r="G192" s="1" t="n">
        <f aca="false">SUMIFS(Raw_Data!$I$2:$I$1461,Raw_Data!$A$2:$A$1461,A192)</f>
        <v>19638.42</v>
      </c>
      <c r="H192" s="1" t="n">
        <v>300</v>
      </c>
      <c r="I192" s="7" t="n">
        <f aca="false">F192/H192</f>
        <v>0.593333333333333</v>
      </c>
      <c r="J192" s="8" t="n">
        <f aca="false">IFERROR(G192/F192,0)</f>
        <v>110.328202247191</v>
      </c>
      <c r="K192" s="8" t="n">
        <f aca="false">G192/H192</f>
        <v>65.4614</v>
      </c>
    </row>
    <row r="193" customFormat="false" ht="15" hidden="false" customHeight="true" outlineLevel="0" collapsed="false">
      <c r="A193" s="1" t="s">
        <v>252</v>
      </c>
      <c r="B193" s="1" t="s">
        <v>53</v>
      </c>
      <c r="C193" s="1" t="s">
        <v>242</v>
      </c>
      <c r="D193" s="1" t="n">
        <v>7</v>
      </c>
      <c r="E193" s="1" t="n">
        <v>28</v>
      </c>
      <c r="F193" s="1" t="n">
        <f aca="false">SUMIFS(Raw_Data!$H$2:$H$1461,Raw_Data!$A$2:$A$1461,A193)</f>
        <v>159</v>
      </c>
      <c r="G193" s="1" t="n">
        <f aca="false">SUMIFS(Raw_Data!$I$2:$I$1461,Raw_Data!$A$2:$A$1461,A193)</f>
        <v>15730.91</v>
      </c>
      <c r="H193" s="1" t="n">
        <v>300</v>
      </c>
      <c r="I193" s="7" t="n">
        <f aca="false">F193/H193</f>
        <v>0.53</v>
      </c>
      <c r="J193" s="8" t="n">
        <f aca="false">IFERROR(G193/F193,0)</f>
        <v>98.9365408805032</v>
      </c>
      <c r="K193" s="8" t="n">
        <f aca="false">G193/H193</f>
        <v>52.4363666666667</v>
      </c>
    </row>
    <row r="194" customFormat="false" ht="15" hidden="false" customHeight="true" outlineLevel="0" collapsed="false">
      <c r="A194" s="1" t="s">
        <v>253</v>
      </c>
      <c r="B194" s="1" t="s">
        <v>55</v>
      </c>
      <c r="C194" s="1" t="s">
        <v>242</v>
      </c>
      <c r="D194" s="1" t="n">
        <v>7</v>
      </c>
      <c r="E194" s="1" t="n">
        <v>28</v>
      </c>
      <c r="F194" s="1" t="n">
        <f aca="false">SUMIFS(Raw_Data!$H$2:$H$1461,Raw_Data!$A$2:$A$1461,A194)</f>
        <v>120</v>
      </c>
      <c r="G194" s="1" t="n">
        <f aca="false">SUMIFS(Raw_Data!$I$2:$I$1461,Raw_Data!$A$2:$A$1461,A194)</f>
        <v>10967.46</v>
      </c>
      <c r="H194" s="1" t="n">
        <v>300</v>
      </c>
      <c r="I194" s="7" t="n">
        <f aca="false">F194/H194</f>
        <v>0.4</v>
      </c>
      <c r="J194" s="8" t="n">
        <f aca="false">IFERROR(G194/F194,0)</f>
        <v>91.3955</v>
      </c>
      <c r="K194" s="8" t="n">
        <f aca="false">G194/H194</f>
        <v>36.5582</v>
      </c>
    </row>
    <row r="195" customFormat="false" ht="15" hidden="false" customHeight="true" outlineLevel="0" collapsed="false">
      <c r="A195" s="1" t="s">
        <v>254</v>
      </c>
      <c r="B195" s="1" t="s">
        <v>57</v>
      </c>
      <c r="C195" s="1" t="s">
        <v>242</v>
      </c>
      <c r="D195" s="1" t="n">
        <v>7</v>
      </c>
      <c r="E195" s="1" t="n">
        <v>28</v>
      </c>
      <c r="F195" s="1" t="n">
        <f aca="false">SUMIFS(Raw_Data!$H$2:$H$1461,Raw_Data!$A$2:$A$1461,A195)</f>
        <v>115</v>
      </c>
      <c r="G195" s="1" t="n">
        <f aca="false">SUMIFS(Raw_Data!$I$2:$I$1461,Raw_Data!$A$2:$A$1461,A195)</f>
        <v>11555.35</v>
      </c>
      <c r="H195" s="1" t="n">
        <v>300</v>
      </c>
      <c r="I195" s="7" t="n">
        <f aca="false">F195/H195</f>
        <v>0.383333333333333</v>
      </c>
      <c r="J195" s="8" t="n">
        <f aca="false">IFERROR(G195/F195,0)</f>
        <v>100.481304347826</v>
      </c>
      <c r="K195" s="8" t="n">
        <f aca="false">G195/H195</f>
        <v>38.5178333333333</v>
      </c>
    </row>
    <row r="196" customFormat="false" ht="15" hidden="false" customHeight="true" outlineLevel="0" collapsed="false">
      <c r="A196" s="1" t="s">
        <v>255</v>
      </c>
      <c r="B196" s="1" t="s">
        <v>59</v>
      </c>
      <c r="C196" s="1" t="s">
        <v>242</v>
      </c>
      <c r="D196" s="1" t="n">
        <v>7</v>
      </c>
      <c r="E196" s="1" t="n">
        <v>29</v>
      </c>
      <c r="F196" s="1" t="n">
        <f aca="false">SUMIFS(Raw_Data!$H$2:$H$1461,Raw_Data!$A$2:$A$1461,A196)</f>
        <v>163</v>
      </c>
      <c r="G196" s="1" t="n">
        <f aca="false">SUMIFS(Raw_Data!$I$2:$I$1461,Raw_Data!$A$2:$A$1461,A196)</f>
        <v>16522.88</v>
      </c>
      <c r="H196" s="1" t="n">
        <v>300</v>
      </c>
      <c r="I196" s="7" t="n">
        <f aca="false">F196/H196</f>
        <v>0.543333333333333</v>
      </c>
      <c r="J196" s="8" t="n">
        <f aca="false">IFERROR(G196/F196,0)</f>
        <v>101.36736196319</v>
      </c>
      <c r="K196" s="8" t="n">
        <f aca="false">G196/H196</f>
        <v>55.0762666666667</v>
      </c>
    </row>
    <row r="197" customFormat="false" ht="15" hidden="false" customHeight="true" outlineLevel="0" collapsed="false">
      <c r="A197" s="1" t="s">
        <v>256</v>
      </c>
      <c r="B197" s="1" t="s">
        <v>61</v>
      </c>
      <c r="C197" s="1" t="s">
        <v>242</v>
      </c>
      <c r="D197" s="1" t="n">
        <v>7</v>
      </c>
      <c r="E197" s="1" t="n">
        <v>29</v>
      </c>
      <c r="F197" s="1" t="n">
        <f aca="false">SUMIFS(Raw_Data!$H$2:$H$1461,Raw_Data!$A$2:$A$1461,A197)</f>
        <v>162</v>
      </c>
      <c r="G197" s="1" t="n">
        <f aca="false">SUMIFS(Raw_Data!$I$2:$I$1461,Raw_Data!$A$2:$A$1461,A197)</f>
        <v>16829.17</v>
      </c>
      <c r="H197" s="1" t="n">
        <v>300</v>
      </c>
      <c r="I197" s="7" t="n">
        <f aca="false">F197/H197</f>
        <v>0.54</v>
      </c>
      <c r="J197" s="8" t="n">
        <f aca="false">IFERROR(G197/F197,0)</f>
        <v>103.883765432099</v>
      </c>
      <c r="K197" s="8" t="n">
        <f aca="false">G197/H197</f>
        <v>56.0972333333333</v>
      </c>
    </row>
    <row r="198" customFormat="false" ht="15" hidden="false" customHeight="true" outlineLevel="0" collapsed="false">
      <c r="A198" s="1" t="s">
        <v>257</v>
      </c>
      <c r="B198" s="1" t="s">
        <v>41</v>
      </c>
      <c r="C198" s="1" t="s">
        <v>242</v>
      </c>
      <c r="D198" s="1" t="n">
        <v>7</v>
      </c>
      <c r="E198" s="1" t="n">
        <v>29</v>
      </c>
      <c r="F198" s="1" t="n">
        <f aca="false">SUMIFS(Raw_Data!$H$2:$H$1461,Raw_Data!$A$2:$A$1461,A198)</f>
        <v>155</v>
      </c>
      <c r="G198" s="1" t="n">
        <f aca="false">SUMIFS(Raw_Data!$I$2:$I$1461,Raw_Data!$A$2:$A$1461,A198)</f>
        <v>15637.96</v>
      </c>
      <c r="H198" s="1" t="n">
        <v>300</v>
      </c>
      <c r="I198" s="7" t="n">
        <f aca="false">F198/H198</f>
        <v>0.516666666666667</v>
      </c>
      <c r="J198" s="8" t="n">
        <f aca="false">IFERROR(G198/F198,0)</f>
        <v>100.890064516129</v>
      </c>
      <c r="K198" s="8" t="n">
        <f aca="false">G198/H198</f>
        <v>52.1265333333333</v>
      </c>
    </row>
    <row r="199" customFormat="false" ht="15" hidden="false" customHeight="true" outlineLevel="0" collapsed="false">
      <c r="A199" s="1" t="s">
        <v>258</v>
      </c>
      <c r="B199" s="1" t="s">
        <v>51</v>
      </c>
      <c r="C199" s="1" t="s">
        <v>242</v>
      </c>
      <c r="D199" s="1" t="n">
        <v>7</v>
      </c>
      <c r="E199" s="1" t="n">
        <v>29</v>
      </c>
      <c r="F199" s="1" t="n">
        <f aca="false">SUMIFS(Raw_Data!$H$2:$H$1461,Raw_Data!$A$2:$A$1461,A199)</f>
        <v>148</v>
      </c>
      <c r="G199" s="1" t="n">
        <f aca="false">SUMIFS(Raw_Data!$I$2:$I$1461,Raw_Data!$A$2:$A$1461,A199)</f>
        <v>16341.95</v>
      </c>
      <c r="H199" s="1" t="n">
        <v>300</v>
      </c>
      <c r="I199" s="7" t="n">
        <f aca="false">F199/H199</f>
        <v>0.493333333333333</v>
      </c>
      <c r="J199" s="8" t="n">
        <f aca="false">IFERROR(G199/F199,0)</f>
        <v>110.418581081081</v>
      </c>
      <c r="K199" s="8" t="n">
        <f aca="false">G199/H199</f>
        <v>54.4731666666667</v>
      </c>
    </row>
    <row r="200" customFormat="false" ht="15" hidden="false" customHeight="true" outlineLevel="0" collapsed="false">
      <c r="A200" s="1" t="s">
        <v>259</v>
      </c>
      <c r="B200" s="1" t="s">
        <v>53</v>
      </c>
      <c r="C200" s="1" t="s">
        <v>242</v>
      </c>
      <c r="D200" s="1" t="n">
        <v>7</v>
      </c>
      <c r="E200" s="1" t="n">
        <v>29</v>
      </c>
      <c r="F200" s="1" t="n">
        <f aca="false">SUMIFS(Raw_Data!$H$2:$H$1461,Raw_Data!$A$2:$A$1461,A200)</f>
        <v>164</v>
      </c>
      <c r="G200" s="1" t="n">
        <f aca="false">SUMIFS(Raw_Data!$I$2:$I$1461,Raw_Data!$A$2:$A$1461,A200)</f>
        <v>17534.64</v>
      </c>
      <c r="H200" s="1" t="n">
        <v>300</v>
      </c>
      <c r="I200" s="7" t="n">
        <f aca="false">F200/H200</f>
        <v>0.546666666666667</v>
      </c>
      <c r="J200" s="8" t="n">
        <f aca="false">IFERROR(G200/F200,0)</f>
        <v>106.918536585366</v>
      </c>
      <c r="K200" s="8" t="n">
        <f aca="false">G200/H200</f>
        <v>58.4488</v>
      </c>
    </row>
    <row r="201" customFormat="false" ht="15" hidden="false" customHeight="true" outlineLevel="0" collapsed="false">
      <c r="A201" s="1" t="s">
        <v>260</v>
      </c>
      <c r="B201" s="1" t="s">
        <v>55</v>
      </c>
      <c r="C201" s="1" t="s">
        <v>242</v>
      </c>
      <c r="D201" s="1" t="n">
        <v>7</v>
      </c>
      <c r="E201" s="1" t="n">
        <v>29</v>
      </c>
      <c r="F201" s="1" t="n">
        <f aca="false">SUMIFS(Raw_Data!$H$2:$H$1461,Raw_Data!$A$2:$A$1461,A201)</f>
        <v>110</v>
      </c>
      <c r="G201" s="1" t="n">
        <f aca="false">SUMIFS(Raw_Data!$I$2:$I$1461,Raw_Data!$A$2:$A$1461,A201)</f>
        <v>10759.77</v>
      </c>
      <c r="H201" s="1" t="n">
        <v>300</v>
      </c>
      <c r="I201" s="7" t="n">
        <f aca="false">F201/H201</f>
        <v>0.366666666666667</v>
      </c>
      <c r="J201" s="8" t="n">
        <f aca="false">IFERROR(G201/F201,0)</f>
        <v>97.8160909090909</v>
      </c>
      <c r="K201" s="8" t="n">
        <f aca="false">G201/H201</f>
        <v>35.8659</v>
      </c>
    </row>
    <row r="202" customFormat="false" ht="15" hidden="false" customHeight="true" outlineLevel="0" collapsed="false">
      <c r="A202" s="1" t="s">
        <v>261</v>
      </c>
      <c r="B202" s="1" t="s">
        <v>57</v>
      </c>
      <c r="C202" s="1" t="s">
        <v>242</v>
      </c>
      <c r="D202" s="1" t="n">
        <v>7</v>
      </c>
      <c r="E202" s="1" t="n">
        <v>29</v>
      </c>
      <c r="F202" s="1" t="n">
        <f aca="false">SUMIFS(Raw_Data!$H$2:$H$1461,Raw_Data!$A$2:$A$1461,A202)</f>
        <v>116</v>
      </c>
      <c r="G202" s="1" t="n">
        <f aca="false">SUMIFS(Raw_Data!$I$2:$I$1461,Raw_Data!$A$2:$A$1461,A202)</f>
        <v>11626.06</v>
      </c>
      <c r="H202" s="1" t="n">
        <v>300</v>
      </c>
      <c r="I202" s="7" t="n">
        <f aca="false">F202/H202</f>
        <v>0.386666666666667</v>
      </c>
      <c r="J202" s="8" t="n">
        <f aca="false">IFERROR(G202/F202,0)</f>
        <v>100.224655172414</v>
      </c>
      <c r="K202" s="8" t="n">
        <f aca="false">G202/H202</f>
        <v>38.7535333333333</v>
      </c>
    </row>
    <row r="203" customFormat="false" ht="15" hidden="false" customHeight="true" outlineLevel="0" collapsed="false">
      <c r="A203" s="1" t="s">
        <v>262</v>
      </c>
      <c r="B203" s="1" t="s">
        <v>59</v>
      </c>
      <c r="C203" s="1" t="s">
        <v>242</v>
      </c>
      <c r="D203" s="1" t="n">
        <v>7</v>
      </c>
      <c r="E203" s="1" t="n">
        <v>30</v>
      </c>
      <c r="F203" s="1" t="n">
        <f aca="false">SUMIFS(Raw_Data!$H$2:$H$1461,Raw_Data!$A$2:$A$1461,A203)</f>
        <v>169</v>
      </c>
      <c r="G203" s="1" t="n">
        <f aca="false">SUMIFS(Raw_Data!$I$2:$I$1461,Raw_Data!$A$2:$A$1461,A203)</f>
        <v>18058.96</v>
      </c>
      <c r="H203" s="1" t="n">
        <v>300</v>
      </c>
      <c r="I203" s="7" t="n">
        <f aca="false">F203/H203</f>
        <v>0.563333333333333</v>
      </c>
      <c r="J203" s="8" t="n">
        <f aca="false">IFERROR(G203/F203,0)</f>
        <v>106.85775147929</v>
      </c>
      <c r="K203" s="8" t="n">
        <f aca="false">G203/H203</f>
        <v>60.1965333333333</v>
      </c>
    </row>
    <row r="204" customFormat="false" ht="15" hidden="false" customHeight="true" outlineLevel="0" collapsed="false">
      <c r="A204" s="1" t="s">
        <v>263</v>
      </c>
      <c r="B204" s="1" t="s">
        <v>61</v>
      </c>
      <c r="C204" s="1" t="s">
        <v>242</v>
      </c>
      <c r="D204" s="1" t="n">
        <v>7</v>
      </c>
      <c r="E204" s="1" t="n">
        <v>30</v>
      </c>
      <c r="F204" s="1" t="n">
        <f aca="false">SUMIFS(Raw_Data!$H$2:$H$1461,Raw_Data!$A$2:$A$1461,A204)</f>
        <v>169</v>
      </c>
      <c r="G204" s="1" t="n">
        <f aca="false">SUMIFS(Raw_Data!$I$2:$I$1461,Raw_Data!$A$2:$A$1461,A204)</f>
        <v>17230.03</v>
      </c>
      <c r="H204" s="1" t="n">
        <v>300</v>
      </c>
      <c r="I204" s="7" t="n">
        <f aca="false">F204/H204</f>
        <v>0.563333333333333</v>
      </c>
      <c r="J204" s="8" t="n">
        <f aca="false">IFERROR(G204/F204,0)</f>
        <v>101.952840236686</v>
      </c>
      <c r="K204" s="8" t="n">
        <f aca="false">G204/H204</f>
        <v>57.4334333333333</v>
      </c>
    </row>
    <row r="205" customFormat="false" ht="15" hidden="false" customHeight="true" outlineLevel="0" collapsed="false">
      <c r="A205" s="1" t="s">
        <v>264</v>
      </c>
      <c r="B205" s="1" t="s">
        <v>41</v>
      </c>
      <c r="C205" s="1" t="s">
        <v>242</v>
      </c>
      <c r="D205" s="1" t="n">
        <v>7</v>
      </c>
      <c r="E205" s="1" t="n">
        <v>30</v>
      </c>
      <c r="F205" s="1" t="n">
        <f aca="false">SUMIFS(Raw_Data!$H$2:$H$1461,Raw_Data!$A$2:$A$1461,A205)</f>
        <v>180</v>
      </c>
      <c r="G205" s="1" t="n">
        <f aca="false">SUMIFS(Raw_Data!$I$2:$I$1461,Raw_Data!$A$2:$A$1461,A205)</f>
        <v>20155.38</v>
      </c>
      <c r="H205" s="1" t="n">
        <v>300</v>
      </c>
      <c r="I205" s="7" t="n">
        <f aca="false">F205/H205</f>
        <v>0.6</v>
      </c>
      <c r="J205" s="8" t="n">
        <f aca="false">IFERROR(G205/F205,0)</f>
        <v>111.974333333333</v>
      </c>
      <c r="K205" s="8" t="n">
        <f aca="false">G205/H205</f>
        <v>67.1846</v>
      </c>
    </row>
    <row r="206" customFormat="false" ht="15" hidden="false" customHeight="true" outlineLevel="0" collapsed="false">
      <c r="A206" s="1" t="s">
        <v>265</v>
      </c>
      <c r="B206" s="1" t="s">
        <v>51</v>
      </c>
      <c r="C206" s="1" t="s">
        <v>242</v>
      </c>
      <c r="D206" s="1" t="n">
        <v>7</v>
      </c>
      <c r="E206" s="1" t="n">
        <v>30</v>
      </c>
      <c r="F206" s="1" t="n">
        <f aca="false">SUMIFS(Raw_Data!$H$2:$H$1461,Raw_Data!$A$2:$A$1461,A206)</f>
        <v>161</v>
      </c>
      <c r="G206" s="1" t="n">
        <f aca="false">SUMIFS(Raw_Data!$I$2:$I$1461,Raw_Data!$A$2:$A$1461,A206)</f>
        <v>17401.62</v>
      </c>
      <c r="H206" s="1" t="n">
        <v>300</v>
      </c>
      <c r="I206" s="7" t="n">
        <f aca="false">F206/H206</f>
        <v>0.536666666666667</v>
      </c>
      <c r="J206" s="8" t="n">
        <f aca="false">IFERROR(G206/F206,0)</f>
        <v>108.084596273292</v>
      </c>
      <c r="K206" s="8" t="n">
        <f aca="false">G206/H206</f>
        <v>58.0054</v>
      </c>
    </row>
    <row r="207" customFormat="false" ht="15" hidden="false" customHeight="true" outlineLevel="0" collapsed="false">
      <c r="A207" s="1" t="s">
        <v>266</v>
      </c>
      <c r="B207" s="1" t="s">
        <v>53</v>
      </c>
      <c r="C207" s="1" t="s">
        <v>242</v>
      </c>
      <c r="D207" s="1" t="n">
        <v>7</v>
      </c>
      <c r="E207" s="1" t="n">
        <v>30</v>
      </c>
      <c r="F207" s="1" t="n">
        <f aca="false">SUMIFS(Raw_Data!$H$2:$H$1461,Raw_Data!$A$2:$A$1461,A207)</f>
        <v>161</v>
      </c>
      <c r="G207" s="1" t="n">
        <f aca="false">SUMIFS(Raw_Data!$I$2:$I$1461,Raw_Data!$A$2:$A$1461,A207)</f>
        <v>18268.21</v>
      </c>
      <c r="H207" s="1" t="n">
        <v>300</v>
      </c>
      <c r="I207" s="7" t="n">
        <f aca="false">F207/H207</f>
        <v>0.536666666666667</v>
      </c>
      <c r="J207" s="8" t="n">
        <f aca="false">IFERROR(G207/F207,0)</f>
        <v>113.467142857143</v>
      </c>
      <c r="K207" s="8" t="n">
        <f aca="false">G207/H207</f>
        <v>60.8940333333333</v>
      </c>
    </row>
    <row r="208" customFormat="false" ht="15" hidden="false" customHeight="true" outlineLevel="0" collapsed="false">
      <c r="A208" s="1" t="s">
        <v>267</v>
      </c>
      <c r="B208" s="1" t="s">
        <v>55</v>
      </c>
      <c r="C208" s="1" t="s">
        <v>242</v>
      </c>
      <c r="D208" s="1" t="n">
        <v>7</v>
      </c>
      <c r="E208" s="1" t="n">
        <v>30</v>
      </c>
      <c r="F208" s="1" t="n">
        <f aca="false">SUMIFS(Raw_Data!$H$2:$H$1461,Raw_Data!$A$2:$A$1461,A208)</f>
        <v>125</v>
      </c>
      <c r="G208" s="1" t="n">
        <f aca="false">SUMIFS(Raw_Data!$I$2:$I$1461,Raw_Data!$A$2:$A$1461,A208)</f>
        <v>12774.05</v>
      </c>
      <c r="H208" s="1" t="n">
        <v>300</v>
      </c>
      <c r="I208" s="7" t="n">
        <f aca="false">F208/H208</f>
        <v>0.416666666666667</v>
      </c>
      <c r="J208" s="8" t="n">
        <f aca="false">IFERROR(G208/F208,0)</f>
        <v>102.1924</v>
      </c>
      <c r="K208" s="8" t="n">
        <f aca="false">G208/H208</f>
        <v>42.5801666666667</v>
      </c>
    </row>
    <row r="209" customFormat="false" ht="15" hidden="false" customHeight="true" outlineLevel="0" collapsed="false">
      <c r="A209" s="1" t="s">
        <v>268</v>
      </c>
      <c r="B209" s="1" t="s">
        <v>57</v>
      </c>
      <c r="C209" s="1" t="s">
        <v>242</v>
      </c>
      <c r="D209" s="1" t="n">
        <v>7</v>
      </c>
      <c r="E209" s="1" t="n">
        <v>30</v>
      </c>
      <c r="F209" s="1" t="n">
        <f aca="false">SUMIFS(Raw_Data!$H$2:$H$1461,Raw_Data!$A$2:$A$1461,A209)</f>
        <v>110</v>
      </c>
      <c r="G209" s="1" t="n">
        <f aca="false">SUMIFS(Raw_Data!$I$2:$I$1461,Raw_Data!$A$2:$A$1461,A209)</f>
        <v>11334.14</v>
      </c>
      <c r="H209" s="1" t="n">
        <v>300</v>
      </c>
      <c r="I209" s="7" t="n">
        <f aca="false">F209/H209</f>
        <v>0.366666666666667</v>
      </c>
      <c r="J209" s="8" t="n">
        <f aca="false">IFERROR(G209/F209,0)</f>
        <v>103.037636363636</v>
      </c>
      <c r="K209" s="8" t="n">
        <f aca="false">G209/H209</f>
        <v>37.7804666666667</v>
      </c>
    </row>
    <row r="210" customFormat="false" ht="15" hidden="false" customHeight="true" outlineLevel="0" collapsed="false">
      <c r="A210" s="1" t="s">
        <v>269</v>
      </c>
      <c r="B210" s="1" t="s">
        <v>59</v>
      </c>
      <c r="C210" s="1" t="s">
        <v>242</v>
      </c>
      <c r="D210" s="1" t="n">
        <v>7</v>
      </c>
      <c r="E210" s="1" t="n">
        <v>31</v>
      </c>
      <c r="F210" s="1" t="n">
        <f aca="false">SUMIFS(Raw_Data!$H$2:$H$1461,Raw_Data!$A$2:$A$1461,A210)</f>
        <v>175</v>
      </c>
      <c r="G210" s="1" t="n">
        <f aca="false">SUMIFS(Raw_Data!$I$2:$I$1461,Raw_Data!$A$2:$A$1461,A210)</f>
        <v>18639.75</v>
      </c>
      <c r="H210" s="1" t="n">
        <v>300</v>
      </c>
      <c r="I210" s="7" t="n">
        <f aca="false">F210/H210</f>
        <v>0.583333333333333</v>
      </c>
      <c r="J210" s="8" t="n">
        <f aca="false">IFERROR(G210/F210,0)</f>
        <v>106.512857142857</v>
      </c>
      <c r="K210" s="8" t="n">
        <f aca="false">G210/H210</f>
        <v>62.1325</v>
      </c>
    </row>
    <row r="211" customFormat="false" ht="15" hidden="false" customHeight="true" outlineLevel="0" collapsed="false">
      <c r="A211" s="1" t="s">
        <v>270</v>
      </c>
      <c r="B211" s="1" t="s">
        <v>61</v>
      </c>
      <c r="C211" s="1" t="s">
        <v>242</v>
      </c>
      <c r="D211" s="1" t="n">
        <v>7</v>
      </c>
      <c r="E211" s="1" t="n">
        <v>31</v>
      </c>
      <c r="F211" s="1" t="n">
        <f aca="false">SUMIFS(Raw_Data!$H$2:$H$1461,Raw_Data!$A$2:$A$1461,A211)</f>
        <v>170</v>
      </c>
      <c r="G211" s="1" t="n">
        <f aca="false">SUMIFS(Raw_Data!$I$2:$I$1461,Raw_Data!$A$2:$A$1461,A211)</f>
        <v>17500.72</v>
      </c>
      <c r="H211" s="1" t="n">
        <v>300</v>
      </c>
      <c r="I211" s="7" t="n">
        <f aca="false">F211/H211</f>
        <v>0.566666666666667</v>
      </c>
      <c r="J211" s="8" t="n">
        <f aca="false">IFERROR(G211/F211,0)</f>
        <v>102.945411764706</v>
      </c>
      <c r="K211" s="8" t="n">
        <f aca="false">G211/H211</f>
        <v>58.3357333333333</v>
      </c>
    </row>
    <row r="212" customFormat="false" ht="15" hidden="false" customHeight="true" outlineLevel="0" collapsed="false">
      <c r="A212" s="1" t="s">
        <v>271</v>
      </c>
      <c r="B212" s="1" t="s">
        <v>41</v>
      </c>
      <c r="C212" s="1" t="s">
        <v>242</v>
      </c>
      <c r="D212" s="1" t="n">
        <v>7</v>
      </c>
      <c r="E212" s="1" t="n">
        <v>31</v>
      </c>
      <c r="F212" s="1" t="n">
        <f aca="false">SUMIFS(Raw_Data!$H$2:$H$1461,Raw_Data!$A$2:$A$1461,A212)</f>
        <v>162</v>
      </c>
      <c r="G212" s="1" t="n">
        <f aca="false">SUMIFS(Raw_Data!$I$2:$I$1461,Raw_Data!$A$2:$A$1461,A212)</f>
        <v>17507</v>
      </c>
      <c r="H212" s="1" t="n">
        <v>300</v>
      </c>
      <c r="I212" s="7" t="n">
        <f aca="false">F212/H212</f>
        <v>0.54</v>
      </c>
      <c r="J212" s="8" t="n">
        <f aca="false">IFERROR(G212/F212,0)</f>
        <v>108.067901234568</v>
      </c>
      <c r="K212" s="8" t="n">
        <f aca="false">G212/H212</f>
        <v>58.3566666666667</v>
      </c>
    </row>
    <row r="213" customFormat="false" ht="15" hidden="false" customHeight="true" outlineLevel="0" collapsed="false">
      <c r="A213" s="1" t="s">
        <v>272</v>
      </c>
      <c r="B213" s="1" t="s">
        <v>51</v>
      </c>
      <c r="C213" s="1" t="s">
        <v>242</v>
      </c>
      <c r="D213" s="1" t="n">
        <v>7</v>
      </c>
      <c r="E213" s="1" t="n">
        <v>31</v>
      </c>
      <c r="F213" s="1" t="n">
        <f aca="false">SUMIFS(Raw_Data!$H$2:$H$1461,Raw_Data!$A$2:$A$1461,A213)</f>
        <v>171</v>
      </c>
      <c r="G213" s="1" t="n">
        <f aca="false">SUMIFS(Raw_Data!$I$2:$I$1461,Raw_Data!$A$2:$A$1461,A213)</f>
        <v>17985.53</v>
      </c>
      <c r="H213" s="1" t="n">
        <v>300</v>
      </c>
      <c r="I213" s="7" t="n">
        <f aca="false">F213/H213</f>
        <v>0.57</v>
      </c>
      <c r="J213" s="8" t="n">
        <f aca="false">IFERROR(G213/F213,0)</f>
        <v>105.178538011696</v>
      </c>
      <c r="K213" s="8" t="n">
        <f aca="false">G213/H213</f>
        <v>59.9517666666667</v>
      </c>
    </row>
    <row r="214" customFormat="false" ht="15" hidden="false" customHeight="true" outlineLevel="0" collapsed="false">
      <c r="A214" s="1" t="s">
        <v>273</v>
      </c>
      <c r="B214" s="1" t="s">
        <v>53</v>
      </c>
      <c r="C214" s="1" t="s">
        <v>274</v>
      </c>
      <c r="D214" s="1" t="n">
        <v>8</v>
      </c>
      <c r="E214" s="1" t="n">
        <v>31</v>
      </c>
      <c r="F214" s="1" t="n">
        <f aca="false">SUMIFS(Raw_Data!$H$2:$H$1461,Raw_Data!$A$2:$A$1461,A214)</f>
        <v>115</v>
      </c>
      <c r="G214" s="1" t="n">
        <f aca="false">SUMIFS(Raw_Data!$I$2:$I$1461,Raw_Data!$A$2:$A$1461,A214)</f>
        <v>10880.43</v>
      </c>
      <c r="H214" s="1" t="n">
        <v>300</v>
      </c>
      <c r="I214" s="7" t="n">
        <f aca="false">F214/H214</f>
        <v>0.383333333333333</v>
      </c>
      <c r="J214" s="8" t="n">
        <f aca="false">IFERROR(G214/F214,0)</f>
        <v>94.6124347826087</v>
      </c>
      <c r="K214" s="8" t="n">
        <f aca="false">G214/H214</f>
        <v>36.2681</v>
      </c>
    </row>
    <row r="215" customFormat="false" ht="15" hidden="false" customHeight="true" outlineLevel="0" collapsed="false">
      <c r="A215" s="1" t="s">
        <v>275</v>
      </c>
      <c r="B215" s="1" t="s">
        <v>55</v>
      </c>
      <c r="C215" s="1" t="s">
        <v>274</v>
      </c>
      <c r="D215" s="1" t="n">
        <v>8</v>
      </c>
      <c r="E215" s="1" t="n">
        <v>31</v>
      </c>
      <c r="F215" s="1" t="n">
        <f aca="false">SUMIFS(Raw_Data!$H$2:$H$1461,Raw_Data!$A$2:$A$1461,A215)</f>
        <v>91</v>
      </c>
      <c r="G215" s="1" t="n">
        <f aca="false">SUMIFS(Raw_Data!$I$2:$I$1461,Raw_Data!$A$2:$A$1461,A215)</f>
        <v>8483.37</v>
      </c>
      <c r="H215" s="1" t="n">
        <v>300</v>
      </c>
      <c r="I215" s="7" t="n">
        <f aca="false">F215/H215</f>
        <v>0.303333333333333</v>
      </c>
      <c r="J215" s="8" t="n">
        <f aca="false">IFERROR(G215/F215,0)</f>
        <v>93.2238461538462</v>
      </c>
      <c r="K215" s="8" t="n">
        <f aca="false">G215/H215</f>
        <v>28.2779</v>
      </c>
    </row>
    <row r="216" customFormat="false" ht="15" hidden="false" customHeight="true" outlineLevel="0" collapsed="false">
      <c r="A216" s="1" t="s">
        <v>276</v>
      </c>
      <c r="B216" s="1" t="s">
        <v>57</v>
      </c>
      <c r="C216" s="1" t="s">
        <v>274</v>
      </c>
      <c r="D216" s="1" t="n">
        <v>8</v>
      </c>
      <c r="E216" s="1" t="n">
        <v>31</v>
      </c>
      <c r="F216" s="1" t="n">
        <f aca="false">SUMIFS(Raw_Data!$H$2:$H$1461,Raw_Data!$A$2:$A$1461,A216)</f>
        <v>84</v>
      </c>
      <c r="G216" s="1" t="n">
        <f aca="false">SUMIFS(Raw_Data!$I$2:$I$1461,Raw_Data!$A$2:$A$1461,A216)</f>
        <v>7456.97</v>
      </c>
      <c r="H216" s="1" t="n">
        <v>300</v>
      </c>
      <c r="I216" s="7" t="n">
        <f aca="false">F216/H216</f>
        <v>0.28</v>
      </c>
      <c r="J216" s="8" t="n">
        <f aca="false">IFERROR(G216/F216,0)</f>
        <v>88.7734523809524</v>
      </c>
      <c r="K216" s="8" t="n">
        <f aca="false">G216/H216</f>
        <v>24.8565666666667</v>
      </c>
    </row>
    <row r="217" customFormat="false" ht="15" hidden="false" customHeight="true" outlineLevel="0" collapsed="false">
      <c r="A217" s="1" t="s">
        <v>277</v>
      </c>
      <c r="B217" s="1" t="s">
        <v>59</v>
      </c>
      <c r="C217" s="1" t="s">
        <v>274</v>
      </c>
      <c r="D217" s="1" t="n">
        <v>8</v>
      </c>
      <c r="E217" s="1" t="n">
        <v>32</v>
      </c>
      <c r="F217" s="1" t="n">
        <f aca="false">SUMIFS(Raw_Data!$H$2:$H$1461,Raw_Data!$A$2:$A$1461,A217)</f>
        <v>119</v>
      </c>
      <c r="G217" s="1" t="n">
        <f aca="false">SUMIFS(Raw_Data!$I$2:$I$1461,Raw_Data!$A$2:$A$1461,A217)</f>
        <v>11604.5</v>
      </c>
      <c r="H217" s="1" t="n">
        <v>300</v>
      </c>
      <c r="I217" s="7" t="n">
        <f aca="false">F217/H217</f>
        <v>0.396666666666667</v>
      </c>
      <c r="J217" s="8" t="n">
        <f aca="false">IFERROR(G217/F217,0)</f>
        <v>97.5168067226891</v>
      </c>
      <c r="K217" s="8" t="n">
        <f aca="false">G217/H217</f>
        <v>38.6816666666667</v>
      </c>
    </row>
    <row r="218" customFormat="false" ht="15" hidden="false" customHeight="true" outlineLevel="0" collapsed="false">
      <c r="A218" s="1" t="s">
        <v>278</v>
      </c>
      <c r="B218" s="1" t="s">
        <v>61</v>
      </c>
      <c r="C218" s="1" t="s">
        <v>274</v>
      </c>
      <c r="D218" s="1" t="n">
        <v>8</v>
      </c>
      <c r="E218" s="1" t="n">
        <v>32</v>
      </c>
      <c r="F218" s="1" t="n">
        <f aca="false">SUMIFS(Raw_Data!$H$2:$H$1461,Raw_Data!$A$2:$A$1461,A218)</f>
        <v>121</v>
      </c>
      <c r="G218" s="1" t="n">
        <f aca="false">SUMIFS(Raw_Data!$I$2:$I$1461,Raw_Data!$A$2:$A$1461,A218)</f>
        <v>12168.22</v>
      </c>
      <c r="H218" s="1" t="n">
        <v>300</v>
      </c>
      <c r="I218" s="7" t="n">
        <f aca="false">F218/H218</f>
        <v>0.403333333333333</v>
      </c>
      <c r="J218" s="8" t="n">
        <f aca="false">IFERROR(G218/F218,0)</f>
        <v>100.563801652893</v>
      </c>
      <c r="K218" s="8" t="n">
        <f aca="false">G218/H218</f>
        <v>40.5607333333333</v>
      </c>
    </row>
    <row r="219" customFormat="false" ht="15" hidden="false" customHeight="true" outlineLevel="0" collapsed="false">
      <c r="A219" s="1" t="s">
        <v>279</v>
      </c>
      <c r="B219" s="1" t="s">
        <v>41</v>
      </c>
      <c r="C219" s="1" t="s">
        <v>274</v>
      </c>
      <c r="D219" s="1" t="n">
        <v>8</v>
      </c>
      <c r="E219" s="1" t="n">
        <v>32</v>
      </c>
      <c r="F219" s="1" t="n">
        <f aca="false">SUMIFS(Raw_Data!$H$2:$H$1461,Raw_Data!$A$2:$A$1461,A219)</f>
        <v>113</v>
      </c>
      <c r="G219" s="1" t="n">
        <f aca="false">SUMIFS(Raw_Data!$I$2:$I$1461,Raw_Data!$A$2:$A$1461,A219)</f>
        <v>10626.86</v>
      </c>
      <c r="H219" s="1" t="n">
        <v>300</v>
      </c>
      <c r="I219" s="7" t="n">
        <f aca="false">F219/H219</f>
        <v>0.376666666666667</v>
      </c>
      <c r="J219" s="8" t="n">
        <f aca="false">IFERROR(G219/F219,0)</f>
        <v>94.0430088495575</v>
      </c>
      <c r="K219" s="8" t="n">
        <f aca="false">G219/H219</f>
        <v>35.4228666666667</v>
      </c>
    </row>
    <row r="220" customFormat="false" ht="15" hidden="false" customHeight="true" outlineLevel="0" collapsed="false">
      <c r="A220" s="1" t="s">
        <v>280</v>
      </c>
      <c r="B220" s="1" t="s">
        <v>51</v>
      </c>
      <c r="C220" s="1" t="s">
        <v>274</v>
      </c>
      <c r="D220" s="1" t="n">
        <v>8</v>
      </c>
      <c r="E220" s="1" t="n">
        <v>32</v>
      </c>
      <c r="F220" s="1" t="n">
        <f aca="false">SUMIFS(Raw_Data!$H$2:$H$1461,Raw_Data!$A$2:$A$1461,A220)</f>
        <v>108</v>
      </c>
      <c r="G220" s="1" t="n">
        <f aca="false">SUMIFS(Raw_Data!$I$2:$I$1461,Raw_Data!$A$2:$A$1461,A220)</f>
        <v>10681.14</v>
      </c>
      <c r="H220" s="1" t="n">
        <v>300</v>
      </c>
      <c r="I220" s="7" t="n">
        <f aca="false">F220/H220</f>
        <v>0.36</v>
      </c>
      <c r="J220" s="8" t="n">
        <f aca="false">IFERROR(G220/F220,0)</f>
        <v>98.8994444444444</v>
      </c>
      <c r="K220" s="8" t="n">
        <f aca="false">G220/H220</f>
        <v>35.6038</v>
      </c>
    </row>
    <row r="221" customFormat="false" ht="15" hidden="false" customHeight="true" outlineLevel="0" collapsed="false">
      <c r="A221" s="1" t="s">
        <v>281</v>
      </c>
      <c r="B221" s="1" t="s">
        <v>53</v>
      </c>
      <c r="C221" s="1" t="s">
        <v>274</v>
      </c>
      <c r="D221" s="1" t="n">
        <v>8</v>
      </c>
      <c r="E221" s="1" t="n">
        <v>32</v>
      </c>
      <c r="F221" s="1" t="n">
        <f aca="false">SUMIFS(Raw_Data!$H$2:$H$1461,Raw_Data!$A$2:$A$1461,A221)</f>
        <v>117</v>
      </c>
      <c r="G221" s="1" t="n">
        <f aca="false">SUMIFS(Raw_Data!$I$2:$I$1461,Raw_Data!$A$2:$A$1461,A221)</f>
        <v>10795.73</v>
      </c>
      <c r="H221" s="1" t="n">
        <v>300</v>
      </c>
      <c r="I221" s="7" t="n">
        <f aca="false">F221/H221</f>
        <v>0.39</v>
      </c>
      <c r="J221" s="8" t="n">
        <f aca="false">IFERROR(G221/F221,0)</f>
        <v>92.2711965811966</v>
      </c>
      <c r="K221" s="8" t="n">
        <f aca="false">G221/H221</f>
        <v>35.9857666666667</v>
      </c>
    </row>
    <row r="222" customFormat="false" ht="15" hidden="false" customHeight="true" outlineLevel="0" collapsed="false">
      <c r="A222" s="1" t="s">
        <v>282</v>
      </c>
      <c r="B222" s="1" t="s">
        <v>55</v>
      </c>
      <c r="C222" s="1" t="s">
        <v>274</v>
      </c>
      <c r="D222" s="1" t="n">
        <v>8</v>
      </c>
      <c r="E222" s="1" t="n">
        <v>32</v>
      </c>
      <c r="F222" s="1" t="n">
        <f aca="false">SUMIFS(Raw_Data!$H$2:$H$1461,Raw_Data!$A$2:$A$1461,A222)</f>
        <v>93</v>
      </c>
      <c r="G222" s="1" t="n">
        <f aca="false">SUMIFS(Raw_Data!$I$2:$I$1461,Raw_Data!$A$2:$A$1461,A222)</f>
        <v>7962.24</v>
      </c>
      <c r="H222" s="1" t="n">
        <v>300</v>
      </c>
      <c r="I222" s="7" t="n">
        <f aca="false">F222/H222</f>
        <v>0.31</v>
      </c>
      <c r="J222" s="8" t="n">
        <f aca="false">IFERROR(G222/F222,0)</f>
        <v>85.6154838709677</v>
      </c>
      <c r="K222" s="8" t="n">
        <f aca="false">G222/H222</f>
        <v>26.5408</v>
      </c>
    </row>
    <row r="223" customFormat="false" ht="15" hidden="false" customHeight="true" outlineLevel="0" collapsed="false">
      <c r="A223" s="1" t="s">
        <v>283</v>
      </c>
      <c r="B223" s="1" t="s">
        <v>57</v>
      </c>
      <c r="C223" s="1" t="s">
        <v>274</v>
      </c>
      <c r="D223" s="1" t="n">
        <v>8</v>
      </c>
      <c r="E223" s="1" t="n">
        <v>32</v>
      </c>
      <c r="F223" s="1" t="n">
        <f aca="false">SUMIFS(Raw_Data!$H$2:$H$1461,Raw_Data!$A$2:$A$1461,A223)</f>
        <v>84</v>
      </c>
      <c r="G223" s="1" t="n">
        <f aca="false">SUMIFS(Raw_Data!$I$2:$I$1461,Raw_Data!$A$2:$A$1461,A223)</f>
        <v>7798.46</v>
      </c>
      <c r="H223" s="1" t="n">
        <v>300</v>
      </c>
      <c r="I223" s="7" t="n">
        <f aca="false">F223/H223</f>
        <v>0.28</v>
      </c>
      <c r="J223" s="8" t="n">
        <f aca="false">IFERROR(G223/F223,0)</f>
        <v>92.8388095238095</v>
      </c>
      <c r="K223" s="8" t="n">
        <f aca="false">G223/H223</f>
        <v>25.9948666666667</v>
      </c>
    </row>
    <row r="224" customFormat="false" ht="15" hidden="false" customHeight="true" outlineLevel="0" collapsed="false">
      <c r="A224" s="1" t="s">
        <v>284</v>
      </c>
      <c r="B224" s="1" t="s">
        <v>59</v>
      </c>
      <c r="C224" s="1" t="s">
        <v>274</v>
      </c>
      <c r="D224" s="1" t="n">
        <v>8</v>
      </c>
      <c r="E224" s="1" t="n">
        <v>33</v>
      </c>
      <c r="F224" s="1" t="n">
        <f aca="false">SUMIFS(Raw_Data!$H$2:$H$1461,Raw_Data!$A$2:$A$1461,A224)</f>
        <v>109</v>
      </c>
      <c r="G224" s="1" t="n">
        <f aca="false">SUMIFS(Raw_Data!$I$2:$I$1461,Raw_Data!$A$2:$A$1461,A224)</f>
        <v>10489.72</v>
      </c>
      <c r="H224" s="1" t="n">
        <v>300</v>
      </c>
      <c r="I224" s="7" t="n">
        <f aca="false">F224/H224</f>
        <v>0.363333333333333</v>
      </c>
      <c r="J224" s="8" t="n">
        <f aca="false">IFERROR(G224/F224,0)</f>
        <v>96.2359633027523</v>
      </c>
      <c r="K224" s="8" t="n">
        <f aca="false">G224/H224</f>
        <v>34.9657333333333</v>
      </c>
    </row>
    <row r="225" customFormat="false" ht="15" hidden="false" customHeight="true" outlineLevel="0" collapsed="false">
      <c r="A225" s="1" t="s">
        <v>285</v>
      </c>
      <c r="B225" s="1" t="s">
        <v>61</v>
      </c>
      <c r="C225" s="1" t="s">
        <v>274</v>
      </c>
      <c r="D225" s="1" t="n">
        <v>8</v>
      </c>
      <c r="E225" s="1" t="n">
        <v>33</v>
      </c>
      <c r="F225" s="1" t="n">
        <f aca="false">SUMIFS(Raw_Data!$H$2:$H$1461,Raw_Data!$A$2:$A$1461,A225)</f>
        <v>115</v>
      </c>
      <c r="G225" s="1" t="n">
        <f aca="false">SUMIFS(Raw_Data!$I$2:$I$1461,Raw_Data!$A$2:$A$1461,A225)</f>
        <v>10589.52</v>
      </c>
      <c r="H225" s="1" t="n">
        <v>300</v>
      </c>
      <c r="I225" s="7" t="n">
        <f aca="false">F225/H225</f>
        <v>0.383333333333333</v>
      </c>
      <c r="J225" s="8" t="n">
        <f aca="false">IFERROR(G225/F225,0)</f>
        <v>92.0827826086957</v>
      </c>
      <c r="K225" s="8" t="n">
        <f aca="false">G225/H225</f>
        <v>35.2984</v>
      </c>
    </row>
    <row r="226" customFormat="false" ht="15" hidden="false" customHeight="true" outlineLevel="0" collapsed="false">
      <c r="A226" s="1" t="s">
        <v>286</v>
      </c>
      <c r="B226" s="1" t="s">
        <v>41</v>
      </c>
      <c r="C226" s="1" t="s">
        <v>274</v>
      </c>
      <c r="D226" s="1" t="n">
        <v>8</v>
      </c>
      <c r="E226" s="1" t="n">
        <v>33</v>
      </c>
      <c r="F226" s="1" t="n">
        <f aca="false">SUMIFS(Raw_Data!$H$2:$H$1461,Raw_Data!$A$2:$A$1461,A226)</f>
        <v>118</v>
      </c>
      <c r="G226" s="1" t="n">
        <f aca="false">SUMIFS(Raw_Data!$I$2:$I$1461,Raw_Data!$A$2:$A$1461,A226)</f>
        <v>11448.3</v>
      </c>
      <c r="H226" s="1" t="n">
        <v>300</v>
      </c>
      <c r="I226" s="7" t="n">
        <f aca="false">F226/H226</f>
        <v>0.393333333333333</v>
      </c>
      <c r="J226" s="8" t="n">
        <f aca="false">IFERROR(G226/F226,0)</f>
        <v>97.0194915254237</v>
      </c>
      <c r="K226" s="8" t="n">
        <f aca="false">G226/H226</f>
        <v>38.161</v>
      </c>
    </row>
    <row r="227" customFormat="false" ht="15" hidden="false" customHeight="true" outlineLevel="0" collapsed="false">
      <c r="A227" s="1" t="s">
        <v>287</v>
      </c>
      <c r="B227" s="1" t="s">
        <v>51</v>
      </c>
      <c r="C227" s="1" t="s">
        <v>274</v>
      </c>
      <c r="D227" s="1" t="n">
        <v>8</v>
      </c>
      <c r="E227" s="1" t="n">
        <v>33</v>
      </c>
      <c r="F227" s="1" t="n">
        <f aca="false">SUMIFS(Raw_Data!$H$2:$H$1461,Raw_Data!$A$2:$A$1461,A227)</f>
        <v>126</v>
      </c>
      <c r="G227" s="1" t="n">
        <f aca="false">SUMIFS(Raw_Data!$I$2:$I$1461,Raw_Data!$A$2:$A$1461,A227)</f>
        <v>12008.12</v>
      </c>
      <c r="H227" s="1" t="n">
        <v>300</v>
      </c>
      <c r="I227" s="7" t="n">
        <f aca="false">F227/H227</f>
        <v>0.42</v>
      </c>
      <c r="J227" s="8" t="n">
        <f aca="false">IFERROR(G227/F227,0)</f>
        <v>95.3025396825397</v>
      </c>
      <c r="K227" s="8" t="n">
        <f aca="false">G227/H227</f>
        <v>40.0270666666667</v>
      </c>
    </row>
    <row r="228" customFormat="false" ht="15" hidden="false" customHeight="true" outlineLevel="0" collapsed="false">
      <c r="A228" s="1" t="s">
        <v>288</v>
      </c>
      <c r="B228" s="1" t="s">
        <v>53</v>
      </c>
      <c r="C228" s="1" t="s">
        <v>274</v>
      </c>
      <c r="D228" s="1" t="n">
        <v>8</v>
      </c>
      <c r="E228" s="1" t="n">
        <v>33</v>
      </c>
      <c r="F228" s="1" t="n">
        <f aca="false">SUMIFS(Raw_Data!$H$2:$H$1461,Raw_Data!$A$2:$A$1461,A228)</f>
        <v>110</v>
      </c>
      <c r="G228" s="1" t="n">
        <f aca="false">SUMIFS(Raw_Data!$I$2:$I$1461,Raw_Data!$A$2:$A$1461,A228)</f>
        <v>10789.32</v>
      </c>
      <c r="H228" s="1" t="n">
        <v>300</v>
      </c>
      <c r="I228" s="7" t="n">
        <f aca="false">F228/H228</f>
        <v>0.366666666666667</v>
      </c>
      <c r="J228" s="8" t="n">
        <f aca="false">IFERROR(G228/F228,0)</f>
        <v>98.0847272727273</v>
      </c>
      <c r="K228" s="8" t="n">
        <f aca="false">G228/H228</f>
        <v>35.9644</v>
      </c>
    </row>
    <row r="229" customFormat="false" ht="15" hidden="false" customHeight="true" outlineLevel="0" collapsed="false">
      <c r="A229" s="1" t="s">
        <v>289</v>
      </c>
      <c r="B229" s="1" t="s">
        <v>55</v>
      </c>
      <c r="C229" s="1" t="s">
        <v>274</v>
      </c>
      <c r="D229" s="1" t="n">
        <v>8</v>
      </c>
      <c r="E229" s="1" t="n">
        <v>33</v>
      </c>
      <c r="F229" s="1" t="n">
        <f aca="false">SUMIFS(Raw_Data!$H$2:$H$1461,Raw_Data!$A$2:$A$1461,A229)</f>
        <v>82</v>
      </c>
      <c r="G229" s="1" t="n">
        <f aca="false">SUMIFS(Raw_Data!$I$2:$I$1461,Raw_Data!$A$2:$A$1461,A229)</f>
        <v>6993.85</v>
      </c>
      <c r="H229" s="1" t="n">
        <v>300</v>
      </c>
      <c r="I229" s="7" t="n">
        <f aca="false">F229/H229</f>
        <v>0.273333333333333</v>
      </c>
      <c r="J229" s="8" t="n">
        <f aca="false">IFERROR(G229/F229,0)</f>
        <v>85.2908536585366</v>
      </c>
      <c r="K229" s="8" t="n">
        <f aca="false">G229/H229</f>
        <v>23.3128333333333</v>
      </c>
    </row>
    <row r="230" customFormat="false" ht="15" hidden="false" customHeight="true" outlineLevel="0" collapsed="false">
      <c r="A230" s="1" t="s">
        <v>290</v>
      </c>
      <c r="B230" s="1" t="s">
        <v>57</v>
      </c>
      <c r="C230" s="1" t="s">
        <v>274</v>
      </c>
      <c r="D230" s="1" t="n">
        <v>8</v>
      </c>
      <c r="E230" s="1" t="n">
        <v>33</v>
      </c>
      <c r="F230" s="1" t="n">
        <f aca="false">SUMIFS(Raw_Data!$H$2:$H$1461,Raw_Data!$A$2:$A$1461,A230)</f>
        <v>83</v>
      </c>
      <c r="G230" s="1" t="n">
        <f aca="false">SUMIFS(Raw_Data!$I$2:$I$1461,Raw_Data!$A$2:$A$1461,A230)</f>
        <v>7737.63</v>
      </c>
      <c r="H230" s="1" t="n">
        <v>300</v>
      </c>
      <c r="I230" s="7" t="n">
        <f aca="false">F230/H230</f>
        <v>0.276666666666667</v>
      </c>
      <c r="J230" s="8" t="n">
        <f aca="false">IFERROR(G230/F230,0)</f>
        <v>93.2244578313253</v>
      </c>
      <c r="K230" s="8" t="n">
        <f aca="false">G230/H230</f>
        <v>25.7921</v>
      </c>
    </row>
    <row r="231" customFormat="false" ht="15" hidden="false" customHeight="true" outlineLevel="0" collapsed="false">
      <c r="A231" s="1" t="s">
        <v>291</v>
      </c>
      <c r="B231" s="1" t="s">
        <v>59</v>
      </c>
      <c r="C231" s="1" t="s">
        <v>274</v>
      </c>
      <c r="D231" s="1" t="n">
        <v>8</v>
      </c>
      <c r="E231" s="1" t="n">
        <v>34</v>
      </c>
      <c r="F231" s="1" t="n">
        <f aca="false">SUMIFS(Raw_Data!$H$2:$H$1461,Raw_Data!$A$2:$A$1461,A231)</f>
        <v>120</v>
      </c>
      <c r="G231" s="1" t="n">
        <f aca="false">SUMIFS(Raw_Data!$I$2:$I$1461,Raw_Data!$A$2:$A$1461,A231)</f>
        <v>11743.84</v>
      </c>
      <c r="H231" s="1" t="n">
        <v>300</v>
      </c>
      <c r="I231" s="7" t="n">
        <f aca="false">F231/H231</f>
        <v>0.4</v>
      </c>
      <c r="J231" s="8" t="n">
        <f aca="false">IFERROR(G231/F231,0)</f>
        <v>97.8653333333333</v>
      </c>
      <c r="K231" s="8" t="n">
        <f aca="false">G231/H231</f>
        <v>39.1461333333333</v>
      </c>
    </row>
    <row r="232" customFormat="false" ht="15" hidden="false" customHeight="true" outlineLevel="0" collapsed="false">
      <c r="A232" s="1" t="s">
        <v>292</v>
      </c>
      <c r="B232" s="1" t="s">
        <v>61</v>
      </c>
      <c r="C232" s="1" t="s">
        <v>274</v>
      </c>
      <c r="D232" s="1" t="n">
        <v>8</v>
      </c>
      <c r="E232" s="1" t="n">
        <v>34</v>
      </c>
      <c r="F232" s="1" t="n">
        <f aca="false">SUMIFS(Raw_Data!$H$2:$H$1461,Raw_Data!$A$2:$A$1461,A232)</f>
        <v>119</v>
      </c>
      <c r="G232" s="1" t="n">
        <f aca="false">SUMIFS(Raw_Data!$I$2:$I$1461,Raw_Data!$A$2:$A$1461,A232)</f>
        <v>10431.55</v>
      </c>
      <c r="H232" s="1" t="n">
        <v>300</v>
      </c>
      <c r="I232" s="7" t="n">
        <f aca="false">F232/H232</f>
        <v>0.396666666666667</v>
      </c>
      <c r="J232" s="8" t="n">
        <f aca="false">IFERROR(G232/F232,0)</f>
        <v>87.6600840336134</v>
      </c>
      <c r="K232" s="8" t="n">
        <f aca="false">G232/H232</f>
        <v>34.7718333333333</v>
      </c>
    </row>
    <row r="233" customFormat="false" ht="15" hidden="false" customHeight="true" outlineLevel="0" collapsed="false">
      <c r="A233" s="1" t="s">
        <v>293</v>
      </c>
      <c r="B233" s="1" t="s">
        <v>41</v>
      </c>
      <c r="C233" s="1" t="s">
        <v>274</v>
      </c>
      <c r="D233" s="1" t="n">
        <v>8</v>
      </c>
      <c r="E233" s="1" t="n">
        <v>34</v>
      </c>
      <c r="F233" s="1" t="n">
        <f aca="false">SUMIFS(Raw_Data!$H$2:$H$1461,Raw_Data!$A$2:$A$1461,A233)</f>
        <v>122</v>
      </c>
      <c r="G233" s="1" t="n">
        <f aca="false">SUMIFS(Raw_Data!$I$2:$I$1461,Raw_Data!$A$2:$A$1461,A233)</f>
        <v>12086.39</v>
      </c>
      <c r="H233" s="1" t="n">
        <v>300</v>
      </c>
      <c r="I233" s="7" t="n">
        <f aca="false">F233/H233</f>
        <v>0.406666666666667</v>
      </c>
      <c r="J233" s="8" t="n">
        <f aca="false">IFERROR(G233/F233,0)</f>
        <v>99.0687704918033</v>
      </c>
      <c r="K233" s="8" t="n">
        <f aca="false">G233/H233</f>
        <v>40.2879666666667</v>
      </c>
    </row>
    <row r="234" customFormat="false" ht="15" hidden="false" customHeight="true" outlineLevel="0" collapsed="false">
      <c r="A234" s="1" t="s">
        <v>294</v>
      </c>
      <c r="B234" s="1" t="s">
        <v>51</v>
      </c>
      <c r="C234" s="1" t="s">
        <v>274</v>
      </c>
      <c r="D234" s="1" t="n">
        <v>8</v>
      </c>
      <c r="E234" s="1" t="n">
        <v>34</v>
      </c>
      <c r="F234" s="1" t="n">
        <f aca="false">SUMIFS(Raw_Data!$H$2:$H$1461,Raw_Data!$A$2:$A$1461,A234)</f>
        <v>128</v>
      </c>
      <c r="G234" s="1" t="n">
        <f aca="false">SUMIFS(Raw_Data!$I$2:$I$1461,Raw_Data!$A$2:$A$1461,A234)</f>
        <v>12139.66</v>
      </c>
      <c r="H234" s="1" t="n">
        <v>300</v>
      </c>
      <c r="I234" s="7" t="n">
        <f aca="false">F234/H234</f>
        <v>0.426666666666667</v>
      </c>
      <c r="J234" s="8" t="n">
        <f aca="false">IFERROR(G234/F234,0)</f>
        <v>94.84109375</v>
      </c>
      <c r="K234" s="8" t="n">
        <f aca="false">G234/H234</f>
        <v>40.4655333333333</v>
      </c>
    </row>
    <row r="235" customFormat="false" ht="15" hidden="false" customHeight="true" outlineLevel="0" collapsed="false">
      <c r="A235" s="1" t="s">
        <v>295</v>
      </c>
      <c r="B235" s="1" t="s">
        <v>53</v>
      </c>
      <c r="C235" s="1" t="s">
        <v>274</v>
      </c>
      <c r="D235" s="1" t="n">
        <v>8</v>
      </c>
      <c r="E235" s="1" t="n">
        <v>34</v>
      </c>
      <c r="F235" s="1" t="n">
        <f aca="false">SUMIFS(Raw_Data!$H$2:$H$1461,Raw_Data!$A$2:$A$1461,A235)</f>
        <v>122</v>
      </c>
      <c r="G235" s="1" t="n">
        <f aca="false">SUMIFS(Raw_Data!$I$2:$I$1461,Raw_Data!$A$2:$A$1461,A235)</f>
        <v>11122.44</v>
      </c>
      <c r="H235" s="1" t="n">
        <v>300</v>
      </c>
      <c r="I235" s="7" t="n">
        <f aca="false">F235/H235</f>
        <v>0.406666666666667</v>
      </c>
      <c r="J235" s="8" t="n">
        <f aca="false">IFERROR(G235/F235,0)</f>
        <v>91.1675409836066</v>
      </c>
      <c r="K235" s="8" t="n">
        <f aca="false">G235/H235</f>
        <v>37.0748</v>
      </c>
    </row>
    <row r="236" customFormat="false" ht="15" hidden="false" customHeight="true" outlineLevel="0" collapsed="false">
      <c r="A236" s="1" t="s">
        <v>296</v>
      </c>
      <c r="B236" s="1" t="s">
        <v>55</v>
      </c>
      <c r="C236" s="1" t="s">
        <v>274</v>
      </c>
      <c r="D236" s="1" t="n">
        <v>8</v>
      </c>
      <c r="E236" s="1" t="n">
        <v>34</v>
      </c>
      <c r="F236" s="1" t="n">
        <f aca="false">SUMIFS(Raw_Data!$H$2:$H$1461,Raw_Data!$A$2:$A$1461,A236)</f>
        <v>86</v>
      </c>
      <c r="G236" s="1" t="n">
        <f aca="false">SUMIFS(Raw_Data!$I$2:$I$1461,Raw_Data!$A$2:$A$1461,A236)</f>
        <v>8040.7</v>
      </c>
      <c r="H236" s="1" t="n">
        <v>300</v>
      </c>
      <c r="I236" s="7" t="n">
        <f aca="false">F236/H236</f>
        <v>0.286666666666667</v>
      </c>
      <c r="J236" s="8" t="n">
        <f aca="false">IFERROR(G236/F236,0)</f>
        <v>93.496511627907</v>
      </c>
      <c r="K236" s="8" t="n">
        <f aca="false">G236/H236</f>
        <v>26.8023333333333</v>
      </c>
    </row>
    <row r="237" customFormat="false" ht="15" hidden="false" customHeight="true" outlineLevel="0" collapsed="false">
      <c r="A237" s="1" t="s">
        <v>297</v>
      </c>
      <c r="B237" s="1" t="s">
        <v>57</v>
      </c>
      <c r="C237" s="1" t="s">
        <v>274</v>
      </c>
      <c r="D237" s="1" t="n">
        <v>8</v>
      </c>
      <c r="E237" s="1" t="n">
        <v>34</v>
      </c>
      <c r="F237" s="1" t="n">
        <f aca="false">SUMIFS(Raw_Data!$H$2:$H$1461,Raw_Data!$A$2:$A$1461,A237)</f>
        <v>80</v>
      </c>
      <c r="G237" s="1" t="n">
        <f aca="false">SUMIFS(Raw_Data!$I$2:$I$1461,Raw_Data!$A$2:$A$1461,A237)</f>
        <v>7267.58</v>
      </c>
      <c r="H237" s="1" t="n">
        <v>300</v>
      </c>
      <c r="I237" s="7" t="n">
        <f aca="false">F237/H237</f>
        <v>0.266666666666667</v>
      </c>
      <c r="J237" s="8" t="n">
        <f aca="false">IFERROR(G237/F237,0)</f>
        <v>90.84475</v>
      </c>
      <c r="K237" s="8" t="n">
        <f aca="false">G237/H237</f>
        <v>24.2252666666667</v>
      </c>
    </row>
    <row r="238" customFormat="false" ht="15" hidden="false" customHeight="true" outlineLevel="0" collapsed="false">
      <c r="A238" s="1" t="s">
        <v>298</v>
      </c>
      <c r="B238" s="1" t="s">
        <v>59</v>
      </c>
      <c r="C238" s="1" t="s">
        <v>274</v>
      </c>
      <c r="D238" s="1" t="n">
        <v>8</v>
      </c>
      <c r="E238" s="1" t="n">
        <v>35</v>
      </c>
      <c r="F238" s="1" t="n">
        <f aca="false">SUMIFS(Raw_Data!$H$2:$H$1461,Raw_Data!$A$2:$A$1461,A238)</f>
        <v>114</v>
      </c>
      <c r="G238" s="1" t="n">
        <f aca="false">SUMIFS(Raw_Data!$I$2:$I$1461,Raw_Data!$A$2:$A$1461,A238)</f>
        <v>10888.12</v>
      </c>
      <c r="H238" s="1" t="n">
        <v>300</v>
      </c>
      <c r="I238" s="7" t="n">
        <f aca="false">F238/H238</f>
        <v>0.38</v>
      </c>
      <c r="J238" s="8" t="n">
        <f aca="false">IFERROR(G238/F238,0)</f>
        <v>95.5098245614035</v>
      </c>
      <c r="K238" s="8" t="n">
        <f aca="false">G238/H238</f>
        <v>36.2937333333333</v>
      </c>
    </row>
    <row r="239" customFormat="false" ht="15" hidden="false" customHeight="true" outlineLevel="0" collapsed="false">
      <c r="A239" s="1" t="s">
        <v>299</v>
      </c>
      <c r="B239" s="1" t="s">
        <v>61</v>
      </c>
      <c r="C239" s="1" t="s">
        <v>274</v>
      </c>
      <c r="D239" s="1" t="n">
        <v>8</v>
      </c>
      <c r="E239" s="1" t="n">
        <v>35</v>
      </c>
      <c r="F239" s="1" t="n">
        <f aca="false">SUMIFS(Raw_Data!$H$2:$H$1461,Raw_Data!$A$2:$A$1461,A239)</f>
        <v>120</v>
      </c>
      <c r="G239" s="1" t="n">
        <f aca="false">SUMIFS(Raw_Data!$I$2:$I$1461,Raw_Data!$A$2:$A$1461,A239)</f>
        <v>12070.52</v>
      </c>
      <c r="H239" s="1" t="n">
        <v>300</v>
      </c>
      <c r="I239" s="7" t="n">
        <f aca="false">F239/H239</f>
        <v>0.4</v>
      </c>
      <c r="J239" s="8" t="n">
        <f aca="false">IFERROR(G239/F239,0)</f>
        <v>100.587666666667</v>
      </c>
      <c r="K239" s="8" t="n">
        <f aca="false">G239/H239</f>
        <v>40.2350666666667</v>
      </c>
    </row>
    <row r="240" customFormat="false" ht="15" hidden="false" customHeight="true" outlineLevel="0" collapsed="false">
      <c r="A240" s="1" t="s">
        <v>300</v>
      </c>
      <c r="B240" s="1" t="s">
        <v>41</v>
      </c>
      <c r="C240" s="1" t="s">
        <v>274</v>
      </c>
      <c r="D240" s="1" t="n">
        <v>8</v>
      </c>
      <c r="E240" s="1" t="n">
        <v>35</v>
      </c>
      <c r="F240" s="1" t="n">
        <f aca="false">SUMIFS(Raw_Data!$H$2:$H$1461,Raw_Data!$A$2:$A$1461,A240)</f>
        <v>117</v>
      </c>
      <c r="G240" s="1" t="n">
        <f aca="false">SUMIFS(Raw_Data!$I$2:$I$1461,Raw_Data!$A$2:$A$1461,A240)</f>
        <v>11567.4</v>
      </c>
      <c r="H240" s="1" t="n">
        <v>300</v>
      </c>
      <c r="I240" s="7" t="n">
        <f aca="false">F240/H240</f>
        <v>0.39</v>
      </c>
      <c r="J240" s="8" t="n">
        <f aca="false">IFERROR(G240/F240,0)</f>
        <v>98.8666666666667</v>
      </c>
      <c r="K240" s="8" t="n">
        <f aca="false">G240/H240</f>
        <v>38.558</v>
      </c>
    </row>
    <row r="241" customFormat="false" ht="15" hidden="false" customHeight="true" outlineLevel="0" collapsed="false">
      <c r="A241" s="1" t="s">
        <v>301</v>
      </c>
      <c r="B241" s="1" t="s">
        <v>51</v>
      </c>
      <c r="C241" s="1" t="s">
        <v>274</v>
      </c>
      <c r="D241" s="1" t="n">
        <v>8</v>
      </c>
      <c r="E241" s="1" t="n">
        <v>35</v>
      </c>
      <c r="F241" s="1" t="n">
        <f aca="false">SUMIFS(Raw_Data!$H$2:$H$1461,Raw_Data!$A$2:$A$1461,A241)</f>
        <v>117</v>
      </c>
      <c r="G241" s="1" t="n">
        <f aca="false">SUMIFS(Raw_Data!$I$2:$I$1461,Raw_Data!$A$2:$A$1461,A241)</f>
        <v>11370.72</v>
      </c>
      <c r="H241" s="1" t="n">
        <v>300</v>
      </c>
      <c r="I241" s="7" t="n">
        <f aca="false">F241/H241</f>
        <v>0.39</v>
      </c>
      <c r="J241" s="8" t="n">
        <f aca="false">IFERROR(G241/F241,0)</f>
        <v>97.185641025641</v>
      </c>
      <c r="K241" s="8" t="n">
        <f aca="false">G241/H241</f>
        <v>37.9024</v>
      </c>
    </row>
    <row r="242" customFormat="false" ht="15" hidden="false" customHeight="true" outlineLevel="0" collapsed="false">
      <c r="A242" s="1" t="s">
        <v>302</v>
      </c>
      <c r="B242" s="1" t="s">
        <v>53</v>
      </c>
      <c r="C242" s="1" t="s">
        <v>274</v>
      </c>
      <c r="D242" s="1" t="n">
        <v>8</v>
      </c>
      <c r="E242" s="1" t="n">
        <v>35</v>
      </c>
      <c r="F242" s="1" t="n">
        <f aca="false">SUMIFS(Raw_Data!$H$2:$H$1461,Raw_Data!$A$2:$A$1461,A242)</f>
        <v>104</v>
      </c>
      <c r="G242" s="1" t="n">
        <f aca="false">SUMIFS(Raw_Data!$I$2:$I$1461,Raw_Data!$A$2:$A$1461,A242)</f>
        <v>10052.99</v>
      </c>
      <c r="H242" s="1" t="n">
        <v>300</v>
      </c>
      <c r="I242" s="7" t="n">
        <f aca="false">F242/H242</f>
        <v>0.346666666666667</v>
      </c>
      <c r="J242" s="8" t="n">
        <f aca="false">IFERROR(G242/F242,0)</f>
        <v>96.6633653846154</v>
      </c>
      <c r="K242" s="8" t="n">
        <f aca="false">G242/H242</f>
        <v>33.5099666666667</v>
      </c>
    </row>
    <row r="243" customFormat="false" ht="15" hidden="false" customHeight="true" outlineLevel="0" collapsed="false">
      <c r="A243" s="1" t="s">
        <v>303</v>
      </c>
      <c r="B243" s="1" t="s">
        <v>55</v>
      </c>
      <c r="C243" s="1" t="s">
        <v>274</v>
      </c>
      <c r="D243" s="1" t="n">
        <v>8</v>
      </c>
      <c r="E243" s="1" t="n">
        <v>35</v>
      </c>
      <c r="F243" s="1" t="n">
        <f aca="false">SUMIFS(Raw_Data!$H$2:$H$1461,Raw_Data!$A$2:$A$1461,A243)</f>
        <v>88</v>
      </c>
      <c r="G243" s="1" t="n">
        <f aca="false">SUMIFS(Raw_Data!$I$2:$I$1461,Raw_Data!$A$2:$A$1461,A243)</f>
        <v>7833.04</v>
      </c>
      <c r="H243" s="1" t="n">
        <v>300</v>
      </c>
      <c r="I243" s="7" t="n">
        <f aca="false">F243/H243</f>
        <v>0.293333333333333</v>
      </c>
      <c r="J243" s="8" t="n">
        <f aca="false">IFERROR(G243/F243,0)</f>
        <v>89.0118181818182</v>
      </c>
      <c r="K243" s="8" t="n">
        <f aca="false">G243/H243</f>
        <v>26.1101333333333</v>
      </c>
    </row>
    <row r="244" customFormat="false" ht="15" hidden="false" customHeight="true" outlineLevel="0" collapsed="false">
      <c r="A244" s="1" t="s">
        <v>304</v>
      </c>
      <c r="B244" s="1" t="s">
        <v>57</v>
      </c>
      <c r="C244" s="1" t="s">
        <v>274</v>
      </c>
      <c r="D244" s="1" t="n">
        <v>8</v>
      </c>
      <c r="E244" s="1" t="n">
        <v>35</v>
      </c>
      <c r="F244" s="1" t="n">
        <f aca="false">SUMIFS(Raw_Data!$H$2:$H$1461,Raw_Data!$A$2:$A$1461,A244)</f>
        <v>90</v>
      </c>
      <c r="G244" s="1" t="n">
        <f aca="false">SUMIFS(Raw_Data!$I$2:$I$1461,Raw_Data!$A$2:$A$1461,A244)</f>
        <v>8078.8</v>
      </c>
      <c r="H244" s="1" t="n">
        <v>300</v>
      </c>
      <c r="I244" s="7" t="n">
        <f aca="false">F244/H244</f>
        <v>0.3</v>
      </c>
      <c r="J244" s="8" t="n">
        <f aca="false">IFERROR(G244/F244,0)</f>
        <v>89.7644444444445</v>
      </c>
      <c r="K244" s="8" t="n">
        <f aca="false">G244/H244</f>
        <v>26.9293333333333</v>
      </c>
    </row>
    <row r="245" customFormat="false" ht="15" hidden="false" customHeight="true" outlineLevel="0" collapsed="false">
      <c r="A245" s="1" t="s">
        <v>305</v>
      </c>
      <c r="B245" s="1" t="s">
        <v>59</v>
      </c>
      <c r="C245" s="1" t="s">
        <v>306</v>
      </c>
      <c r="D245" s="1" t="n">
        <v>9</v>
      </c>
      <c r="E245" s="1" t="n">
        <v>36</v>
      </c>
      <c r="F245" s="1" t="n">
        <f aca="false">SUMIFS(Raw_Data!$H$2:$H$1461,Raw_Data!$A$2:$A$1461,A245)</f>
        <v>195</v>
      </c>
      <c r="G245" s="1" t="n">
        <f aca="false">SUMIFS(Raw_Data!$I$2:$I$1461,Raw_Data!$A$2:$A$1461,A245)</f>
        <v>21624.27</v>
      </c>
      <c r="H245" s="1" t="n">
        <v>300</v>
      </c>
      <c r="I245" s="7" t="n">
        <f aca="false">F245/H245</f>
        <v>0.65</v>
      </c>
      <c r="J245" s="8" t="n">
        <f aca="false">IFERROR(G245/F245,0)</f>
        <v>110.893692307692</v>
      </c>
      <c r="K245" s="8" t="n">
        <f aca="false">G245/H245</f>
        <v>72.0809</v>
      </c>
    </row>
    <row r="246" customFormat="false" ht="15" hidden="false" customHeight="true" outlineLevel="0" collapsed="false">
      <c r="A246" s="1" t="s">
        <v>307</v>
      </c>
      <c r="B246" s="1" t="s">
        <v>61</v>
      </c>
      <c r="C246" s="1" t="s">
        <v>306</v>
      </c>
      <c r="D246" s="1" t="n">
        <v>9</v>
      </c>
      <c r="E246" s="1" t="n">
        <v>36</v>
      </c>
      <c r="F246" s="1" t="n">
        <f aca="false">SUMIFS(Raw_Data!$H$2:$H$1461,Raw_Data!$A$2:$A$1461,A246)</f>
        <v>178</v>
      </c>
      <c r="G246" s="1" t="n">
        <f aca="false">SUMIFS(Raw_Data!$I$2:$I$1461,Raw_Data!$A$2:$A$1461,A246)</f>
        <v>19907.66</v>
      </c>
      <c r="H246" s="1" t="n">
        <v>300</v>
      </c>
      <c r="I246" s="7" t="n">
        <f aca="false">F246/H246</f>
        <v>0.593333333333333</v>
      </c>
      <c r="J246" s="8" t="n">
        <f aca="false">IFERROR(G246/F246,0)</f>
        <v>111.840786516854</v>
      </c>
      <c r="K246" s="8" t="n">
        <f aca="false">G246/H246</f>
        <v>66.3588666666667</v>
      </c>
    </row>
    <row r="247" customFormat="false" ht="15" hidden="false" customHeight="true" outlineLevel="0" collapsed="false">
      <c r="A247" s="1" t="s">
        <v>308</v>
      </c>
      <c r="B247" s="1" t="s">
        <v>41</v>
      </c>
      <c r="C247" s="1" t="s">
        <v>306</v>
      </c>
      <c r="D247" s="1" t="n">
        <v>9</v>
      </c>
      <c r="E247" s="1" t="n">
        <v>36</v>
      </c>
      <c r="F247" s="1" t="n">
        <f aca="false">SUMIFS(Raw_Data!$H$2:$H$1461,Raw_Data!$A$2:$A$1461,A247)</f>
        <v>191</v>
      </c>
      <c r="G247" s="1" t="n">
        <f aca="false">SUMIFS(Raw_Data!$I$2:$I$1461,Raw_Data!$A$2:$A$1461,A247)</f>
        <v>21482.92</v>
      </c>
      <c r="H247" s="1" t="n">
        <v>300</v>
      </c>
      <c r="I247" s="7" t="n">
        <f aca="false">F247/H247</f>
        <v>0.636666666666667</v>
      </c>
      <c r="J247" s="8" t="n">
        <f aca="false">IFERROR(G247/F247,0)</f>
        <v>112.476020942408</v>
      </c>
      <c r="K247" s="8" t="n">
        <f aca="false">G247/H247</f>
        <v>71.6097333333333</v>
      </c>
    </row>
    <row r="248" customFormat="false" ht="15" hidden="false" customHeight="true" outlineLevel="0" collapsed="false">
      <c r="A248" s="1" t="s">
        <v>309</v>
      </c>
      <c r="B248" s="1" t="s">
        <v>51</v>
      </c>
      <c r="C248" s="1" t="s">
        <v>306</v>
      </c>
      <c r="D248" s="1" t="n">
        <v>9</v>
      </c>
      <c r="E248" s="1" t="n">
        <v>36</v>
      </c>
      <c r="F248" s="1" t="n">
        <f aca="false">SUMIFS(Raw_Data!$H$2:$H$1461,Raw_Data!$A$2:$A$1461,A248)</f>
        <v>192</v>
      </c>
      <c r="G248" s="1" t="n">
        <f aca="false">SUMIFS(Raw_Data!$I$2:$I$1461,Raw_Data!$A$2:$A$1461,A248)</f>
        <v>21634.13</v>
      </c>
      <c r="H248" s="1" t="n">
        <v>300</v>
      </c>
      <c r="I248" s="7" t="n">
        <f aca="false">F248/H248</f>
        <v>0.64</v>
      </c>
      <c r="J248" s="8" t="n">
        <f aca="false">IFERROR(G248/F248,0)</f>
        <v>112.677760416667</v>
      </c>
      <c r="K248" s="8" t="n">
        <f aca="false">G248/H248</f>
        <v>72.1137666666667</v>
      </c>
    </row>
    <row r="249" customFormat="false" ht="15" hidden="false" customHeight="true" outlineLevel="0" collapsed="false">
      <c r="A249" s="1" t="s">
        <v>310</v>
      </c>
      <c r="B249" s="1" t="s">
        <v>53</v>
      </c>
      <c r="C249" s="1" t="s">
        <v>306</v>
      </c>
      <c r="D249" s="1" t="n">
        <v>9</v>
      </c>
      <c r="E249" s="1" t="n">
        <v>36</v>
      </c>
      <c r="F249" s="1" t="n">
        <f aca="false">SUMIFS(Raw_Data!$H$2:$H$1461,Raw_Data!$A$2:$A$1461,A249)</f>
        <v>194</v>
      </c>
      <c r="G249" s="1" t="n">
        <f aca="false">SUMIFS(Raw_Data!$I$2:$I$1461,Raw_Data!$A$2:$A$1461,A249)</f>
        <v>22473.55</v>
      </c>
      <c r="H249" s="1" t="n">
        <v>300</v>
      </c>
      <c r="I249" s="7" t="n">
        <f aca="false">F249/H249</f>
        <v>0.646666666666667</v>
      </c>
      <c r="J249" s="8" t="n">
        <f aca="false">IFERROR(G249/F249,0)</f>
        <v>115.843041237113</v>
      </c>
      <c r="K249" s="8" t="n">
        <f aca="false">G249/H249</f>
        <v>74.9118333333333</v>
      </c>
    </row>
    <row r="250" customFormat="false" ht="15" hidden="false" customHeight="true" outlineLevel="0" collapsed="false">
      <c r="A250" s="1" t="s">
        <v>311</v>
      </c>
      <c r="B250" s="1" t="s">
        <v>55</v>
      </c>
      <c r="C250" s="1" t="s">
        <v>306</v>
      </c>
      <c r="D250" s="1" t="n">
        <v>9</v>
      </c>
      <c r="E250" s="1" t="n">
        <v>36</v>
      </c>
      <c r="F250" s="1" t="n">
        <f aca="false">SUMIFS(Raw_Data!$H$2:$H$1461,Raw_Data!$A$2:$A$1461,A250)</f>
        <v>146</v>
      </c>
      <c r="G250" s="1" t="n">
        <f aca="false">SUMIFS(Raw_Data!$I$2:$I$1461,Raw_Data!$A$2:$A$1461,A250)</f>
        <v>15618.77</v>
      </c>
      <c r="H250" s="1" t="n">
        <v>300</v>
      </c>
      <c r="I250" s="7" t="n">
        <f aca="false">F250/H250</f>
        <v>0.486666666666667</v>
      </c>
      <c r="J250" s="8" t="n">
        <f aca="false">IFERROR(G250/F250,0)</f>
        <v>106.977876712329</v>
      </c>
      <c r="K250" s="8" t="n">
        <f aca="false">G250/H250</f>
        <v>52.0625666666667</v>
      </c>
    </row>
    <row r="251" customFormat="false" ht="15" hidden="false" customHeight="true" outlineLevel="0" collapsed="false">
      <c r="A251" s="1" t="s">
        <v>312</v>
      </c>
      <c r="B251" s="1" t="s">
        <v>57</v>
      </c>
      <c r="C251" s="1" t="s">
        <v>306</v>
      </c>
      <c r="D251" s="1" t="n">
        <v>9</v>
      </c>
      <c r="E251" s="1" t="n">
        <v>36</v>
      </c>
      <c r="F251" s="1" t="n">
        <f aca="false">SUMIFS(Raw_Data!$H$2:$H$1461,Raw_Data!$A$2:$A$1461,A251)</f>
        <v>141</v>
      </c>
      <c r="G251" s="1" t="n">
        <f aca="false">SUMIFS(Raw_Data!$I$2:$I$1461,Raw_Data!$A$2:$A$1461,A251)</f>
        <v>14929.99</v>
      </c>
      <c r="H251" s="1" t="n">
        <v>300</v>
      </c>
      <c r="I251" s="7" t="n">
        <f aca="false">F251/H251</f>
        <v>0.47</v>
      </c>
      <c r="J251" s="8" t="n">
        <f aca="false">IFERROR(G251/F251,0)</f>
        <v>105.886453900709</v>
      </c>
      <c r="K251" s="8" t="n">
        <f aca="false">G251/H251</f>
        <v>49.7666333333333</v>
      </c>
    </row>
    <row r="252" customFormat="false" ht="15" hidden="false" customHeight="true" outlineLevel="0" collapsed="false">
      <c r="A252" s="1" t="s">
        <v>313</v>
      </c>
      <c r="B252" s="1" t="s">
        <v>59</v>
      </c>
      <c r="C252" s="1" t="s">
        <v>306</v>
      </c>
      <c r="D252" s="1" t="n">
        <v>9</v>
      </c>
      <c r="E252" s="1" t="n">
        <v>37</v>
      </c>
      <c r="F252" s="1" t="n">
        <f aca="false">SUMIFS(Raw_Data!$H$2:$H$1461,Raw_Data!$A$2:$A$1461,A252)</f>
        <v>177</v>
      </c>
      <c r="G252" s="1" t="n">
        <f aca="false">SUMIFS(Raw_Data!$I$2:$I$1461,Raw_Data!$A$2:$A$1461,A252)</f>
        <v>19372.33</v>
      </c>
      <c r="H252" s="1" t="n">
        <v>300</v>
      </c>
      <c r="I252" s="7" t="n">
        <f aca="false">F252/H252</f>
        <v>0.59</v>
      </c>
      <c r="J252" s="8" t="n">
        <f aca="false">IFERROR(G252/F252,0)</f>
        <v>109.448192090396</v>
      </c>
      <c r="K252" s="8" t="n">
        <f aca="false">G252/H252</f>
        <v>64.5744333333334</v>
      </c>
    </row>
    <row r="253" customFormat="false" ht="15" hidden="false" customHeight="true" outlineLevel="0" collapsed="false">
      <c r="A253" s="1" t="s">
        <v>314</v>
      </c>
      <c r="B253" s="1" t="s">
        <v>61</v>
      </c>
      <c r="C253" s="1" t="s">
        <v>306</v>
      </c>
      <c r="D253" s="1" t="n">
        <v>9</v>
      </c>
      <c r="E253" s="1" t="n">
        <v>37</v>
      </c>
      <c r="F253" s="1" t="n">
        <f aca="false">SUMIFS(Raw_Data!$H$2:$H$1461,Raw_Data!$A$2:$A$1461,A253)</f>
        <v>194</v>
      </c>
      <c r="G253" s="1" t="n">
        <f aca="false">SUMIFS(Raw_Data!$I$2:$I$1461,Raw_Data!$A$2:$A$1461,A253)</f>
        <v>22047.32</v>
      </c>
      <c r="H253" s="1" t="n">
        <v>300</v>
      </c>
      <c r="I253" s="7" t="n">
        <f aca="false">F253/H253</f>
        <v>0.646666666666667</v>
      </c>
      <c r="J253" s="8" t="n">
        <f aca="false">IFERROR(G253/F253,0)</f>
        <v>113.645979381443</v>
      </c>
      <c r="K253" s="8" t="n">
        <f aca="false">G253/H253</f>
        <v>73.4910666666667</v>
      </c>
    </row>
    <row r="254" customFormat="false" ht="15" hidden="false" customHeight="true" outlineLevel="0" collapsed="false">
      <c r="A254" s="1" t="s">
        <v>315</v>
      </c>
      <c r="B254" s="1" t="s">
        <v>41</v>
      </c>
      <c r="C254" s="1" t="s">
        <v>306</v>
      </c>
      <c r="D254" s="1" t="n">
        <v>9</v>
      </c>
      <c r="E254" s="1" t="n">
        <v>37</v>
      </c>
      <c r="F254" s="1" t="n">
        <f aca="false">SUMIFS(Raw_Data!$H$2:$H$1461,Raw_Data!$A$2:$A$1461,A254)</f>
        <v>193</v>
      </c>
      <c r="G254" s="1" t="n">
        <f aca="false">SUMIFS(Raw_Data!$I$2:$I$1461,Raw_Data!$A$2:$A$1461,A254)</f>
        <v>19409.78</v>
      </c>
      <c r="H254" s="1" t="n">
        <v>300</v>
      </c>
      <c r="I254" s="7" t="n">
        <f aca="false">F254/H254</f>
        <v>0.643333333333333</v>
      </c>
      <c r="J254" s="8" t="n">
        <f aca="false">IFERROR(G254/F254,0)</f>
        <v>100.568808290155</v>
      </c>
      <c r="K254" s="8" t="n">
        <f aca="false">G254/H254</f>
        <v>64.6992666666667</v>
      </c>
    </row>
    <row r="255" customFormat="false" ht="15" hidden="false" customHeight="true" outlineLevel="0" collapsed="false">
      <c r="A255" s="1" t="s">
        <v>316</v>
      </c>
      <c r="B255" s="1" t="s">
        <v>51</v>
      </c>
      <c r="C255" s="1" t="s">
        <v>306</v>
      </c>
      <c r="D255" s="1" t="n">
        <v>9</v>
      </c>
      <c r="E255" s="1" t="n">
        <v>37</v>
      </c>
      <c r="F255" s="1" t="n">
        <f aca="false">SUMIFS(Raw_Data!$H$2:$H$1461,Raw_Data!$A$2:$A$1461,A255)</f>
        <v>168</v>
      </c>
      <c r="G255" s="1" t="n">
        <f aca="false">SUMIFS(Raw_Data!$I$2:$I$1461,Raw_Data!$A$2:$A$1461,A255)</f>
        <v>18309</v>
      </c>
      <c r="H255" s="1" t="n">
        <v>300</v>
      </c>
      <c r="I255" s="7" t="n">
        <f aca="false">F255/H255</f>
        <v>0.56</v>
      </c>
      <c r="J255" s="8" t="n">
        <f aca="false">IFERROR(G255/F255,0)</f>
        <v>108.982142857143</v>
      </c>
      <c r="K255" s="8" t="n">
        <f aca="false">G255/H255</f>
        <v>61.03</v>
      </c>
    </row>
    <row r="256" customFormat="false" ht="15" hidden="false" customHeight="true" outlineLevel="0" collapsed="false">
      <c r="A256" s="1" t="s">
        <v>317</v>
      </c>
      <c r="B256" s="1" t="s">
        <v>53</v>
      </c>
      <c r="C256" s="1" t="s">
        <v>306</v>
      </c>
      <c r="D256" s="1" t="n">
        <v>9</v>
      </c>
      <c r="E256" s="1" t="n">
        <v>37</v>
      </c>
      <c r="F256" s="1" t="n">
        <f aca="false">SUMIFS(Raw_Data!$H$2:$H$1461,Raw_Data!$A$2:$A$1461,A256)</f>
        <v>198</v>
      </c>
      <c r="G256" s="1" t="n">
        <f aca="false">SUMIFS(Raw_Data!$I$2:$I$1461,Raw_Data!$A$2:$A$1461,A256)</f>
        <v>22396.77</v>
      </c>
      <c r="H256" s="1" t="n">
        <v>300</v>
      </c>
      <c r="I256" s="7" t="n">
        <f aca="false">F256/H256</f>
        <v>0.66</v>
      </c>
      <c r="J256" s="8" t="n">
        <f aca="false">IFERROR(G256/F256,0)</f>
        <v>113.115</v>
      </c>
      <c r="K256" s="8" t="n">
        <f aca="false">G256/H256</f>
        <v>74.6559</v>
      </c>
    </row>
    <row r="257" customFormat="false" ht="15" hidden="false" customHeight="true" outlineLevel="0" collapsed="false">
      <c r="A257" s="1" t="s">
        <v>318</v>
      </c>
      <c r="B257" s="1" t="s">
        <v>55</v>
      </c>
      <c r="C257" s="1" t="s">
        <v>306</v>
      </c>
      <c r="D257" s="1" t="n">
        <v>9</v>
      </c>
      <c r="E257" s="1" t="n">
        <v>37</v>
      </c>
      <c r="F257" s="1" t="n">
        <f aca="false">SUMIFS(Raw_Data!$H$2:$H$1461,Raw_Data!$A$2:$A$1461,A257)</f>
        <v>134</v>
      </c>
      <c r="G257" s="1" t="n">
        <f aca="false">SUMIFS(Raw_Data!$I$2:$I$1461,Raw_Data!$A$2:$A$1461,A257)</f>
        <v>13939.49</v>
      </c>
      <c r="H257" s="1" t="n">
        <v>300</v>
      </c>
      <c r="I257" s="7" t="n">
        <f aca="false">F257/H257</f>
        <v>0.446666666666667</v>
      </c>
      <c r="J257" s="8" t="n">
        <f aca="false">IFERROR(G257/F257,0)</f>
        <v>104.026044776119</v>
      </c>
      <c r="K257" s="8" t="n">
        <f aca="false">G257/H257</f>
        <v>46.4649666666667</v>
      </c>
    </row>
    <row r="258" customFormat="false" ht="15" hidden="false" customHeight="true" outlineLevel="0" collapsed="false">
      <c r="A258" s="1" t="s">
        <v>319</v>
      </c>
      <c r="B258" s="1" t="s">
        <v>57</v>
      </c>
      <c r="C258" s="1" t="s">
        <v>306</v>
      </c>
      <c r="D258" s="1" t="n">
        <v>9</v>
      </c>
      <c r="E258" s="1" t="n">
        <v>37</v>
      </c>
      <c r="F258" s="1" t="n">
        <f aca="false">SUMIFS(Raw_Data!$H$2:$H$1461,Raw_Data!$A$2:$A$1461,A258)</f>
        <v>137</v>
      </c>
      <c r="G258" s="1" t="n">
        <f aca="false">SUMIFS(Raw_Data!$I$2:$I$1461,Raw_Data!$A$2:$A$1461,A258)</f>
        <v>13696.34</v>
      </c>
      <c r="H258" s="1" t="n">
        <v>300</v>
      </c>
      <c r="I258" s="7" t="n">
        <f aca="false">F258/H258</f>
        <v>0.456666666666667</v>
      </c>
      <c r="J258" s="8" t="n">
        <f aca="false">IFERROR(G258/F258,0)</f>
        <v>99.9732846715329</v>
      </c>
      <c r="K258" s="8" t="n">
        <f aca="false">G258/H258</f>
        <v>45.6544666666667</v>
      </c>
    </row>
    <row r="259" customFormat="false" ht="15" hidden="false" customHeight="true" outlineLevel="0" collapsed="false">
      <c r="A259" s="1" t="s">
        <v>320</v>
      </c>
      <c r="B259" s="1" t="s">
        <v>59</v>
      </c>
      <c r="C259" s="1" t="s">
        <v>306</v>
      </c>
      <c r="D259" s="1" t="n">
        <v>9</v>
      </c>
      <c r="E259" s="1" t="n">
        <v>38</v>
      </c>
      <c r="F259" s="1" t="n">
        <f aca="false">SUMIFS(Raw_Data!$H$2:$H$1461,Raw_Data!$A$2:$A$1461,A259)</f>
        <v>190</v>
      </c>
      <c r="G259" s="1" t="n">
        <f aca="false">SUMIFS(Raw_Data!$I$2:$I$1461,Raw_Data!$A$2:$A$1461,A259)</f>
        <v>21596.33</v>
      </c>
      <c r="H259" s="1" t="n">
        <v>300</v>
      </c>
      <c r="I259" s="7" t="n">
        <f aca="false">F259/H259</f>
        <v>0.633333333333333</v>
      </c>
      <c r="J259" s="8" t="n">
        <f aca="false">IFERROR(G259/F259,0)</f>
        <v>113.664894736842</v>
      </c>
      <c r="K259" s="8" t="n">
        <f aca="false">G259/H259</f>
        <v>71.9877666666667</v>
      </c>
    </row>
    <row r="260" customFormat="false" ht="15" hidden="false" customHeight="true" outlineLevel="0" collapsed="false">
      <c r="A260" s="1" t="s">
        <v>321</v>
      </c>
      <c r="B260" s="1" t="s">
        <v>61</v>
      </c>
      <c r="C260" s="1" t="s">
        <v>306</v>
      </c>
      <c r="D260" s="1" t="n">
        <v>9</v>
      </c>
      <c r="E260" s="1" t="n">
        <v>38</v>
      </c>
      <c r="F260" s="1" t="n">
        <f aca="false">SUMIFS(Raw_Data!$H$2:$H$1461,Raw_Data!$A$2:$A$1461,A260)</f>
        <v>195</v>
      </c>
      <c r="G260" s="1" t="n">
        <f aca="false">SUMIFS(Raw_Data!$I$2:$I$1461,Raw_Data!$A$2:$A$1461,A260)</f>
        <v>21533.58</v>
      </c>
      <c r="H260" s="1" t="n">
        <v>300</v>
      </c>
      <c r="I260" s="7" t="n">
        <f aca="false">F260/H260</f>
        <v>0.65</v>
      </c>
      <c r="J260" s="8" t="n">
        <f aca="false">IFERROR(G260/F260,0)</f>
        <v>110.428615384615</v>
      </c>
      <c r="K260" s="8" t="n">
        <f aca="false">G260/H260</f>
        <v>71.7786</v>
      </c>
    </row>
    <row r="261" customFormat="false" ht="15" hidden="false" customHeight="true" outlineLevel="0" collapsed="false">
      <c r="A261" s="1" t="s">
        <v>322</v>
      </c>
      <c r="B261" s="1" t="s">
        <v>41</v>
      </c>
      <c r="C261" s="1" t="s">
        <v>306</v>
      </c>
      <c r="D261" s="1" t="n">
        <v>9</v>
      </c>
      <c r="E261" s="1" t="n">
        <v>38</v>
      </c>
      <c r="F261" s="1" t="n">
        <f aca="false">SUMIFS(Raw_Data!$H$2:$H$1461,Raw_Data!$A$2:$A$1461,A261)</f>
        <v>192</v>
      </c>
      <c r="G261" s="1" t="n">
        <f aca="false">SUMIFS(Raw_Data!$I$2:$I$1461,Raw_Data!$A$2:$A$1461,A261)</f>
        <v>21541.08</v>
      </c>
      <c r="H261" s="1" t="n">
        <v>300</v>
      </c>
      <c r="I261" s="7" t="n">
        <f aca="false">F261/H261</f>
        <v>0.64</v>
      </c>
      <c r="J261" s="8" t="n">
        <f aca="false">IFERROR(G261/F261,0)</f>
        <v>112.193125</v>
      </c>
      <c r="K261" s="8" t="n">
        <f aca="false">G261/H261</f>
        <v>71.8036</v>
      </c>
    </row>
    <row r="262" customFormat="false" ht="15" hidden="false" customHeight="true" outlineLevel="0" collapsed="false">
      <c r="A262" s="1" t="s">
        <v>323</v>
      </c>
      <c r="B262" s="1" t="s">
        <v>51</v>
      </c>
      <c r="C262" s="1" t="s">
        <v>306</v>
      </c>
      <c r="D262" s="1" t="n">
        <v>9</v>
      </c>
      <c r="E262" s="1" t="n">
        <v>38</v>
      </c>
      <c r="F262" s="1" t="n">
        <f aca="false">SUMIFS(Raw_Data!$H$2:$H$1461,Raw_Data!$A$2:$A$1461,A262)</f>
        <v>184</v>
      </c>
      <c r="G262" s="1" t="n">
        <f aca="false">SUMIFS(Raw_Data!$I$2:$I$1461,Raw_Data!$A$2:$A$1461,A262)</f>
        <v>20430.95</v>
      </c>
      <c r="H262" s="1" t="n">
        <v>300</v>
      </c>
      <c r="I262" s="7" t="n">
        <f aca="false">F262/H262</f>
        <v>0.613333333333333</v>
      </c>
      <c r="J262" s="8" t="n">
        <f aca="false">IFERROR(G262/F262,0)</f>
        <v>111.03777173913</v>
      </c>
      <c r="K262" s="8" t="n">
        <f aca="false">G262/H262</f>
        <v>68.1031666666667</v>
      </c>
    </row>
    <row r="263" customFormat="false" ht="15" hidden="false" customHeight="true" outlineLevel="0" collapsed="false">
      <c r="A263" s="1" t="s">
        <v>324</v>
      </c>
      <c r="B263" s="1" t="s">
        <v>53</v>
      </c>
      <c r="C263" s="1" t="s">
        <v>306</v>
      </c>
      <c r="D263" s="1" t="n">
        <v>9</v>
      </c>
      <c r="E263" s="1" t="n">
        <v>38</v>
      </c>
      <c r="F263" s="1" t="n">
        <f aca="false">SUMIFS(Raw_Data!$H$2:$H$1461,Raw_Data!$A$2:$A$1461,A263)</f>
        <v>192</v>
      </c>
      <c r="G263" s="1" t="n">
        <f aca="false">SUMIFS(Raw_Data!$I$2:$I$1461,Raw_Data!$A$2:$A$1461,A263)</f>
        <v>22024.96</v>
      </c>
      <c r="H263" s="1" t="n">
        <v>300</v>
      </c>
      <c r="I263" s="7" t="n">
        <f aca="false">F263/H263</f>
        <v>0.64</v>
      </c>
      <c r="J263" s="8" t="n">
        <f aca="false">IFERROR(G263/F263,0)</f>
        <v>114.713333333333</v>
      </c>
      <c r="K263" s="8" t="n">
        <f aca="false">G263/H263</f>
        <v>73.4165333333333</v>
      </c>
    </row>
    <row r="264" customFormat="false" ht="15" hidden="false" customHeight="true" outlineLevel="0" collapsed="false">
      <c r="A264" s="1" t="s">
        <v>325</v>
      </c>
      <c r="B264" s="1" t="s">
        <v>55</v>
      </c>
      <c r="C264" s="1" t="s">
        <v>306</v>
      </c>
      <c r="D264" s="1" t="n">
        <v>9</v>
      </c>
      <c r="E264" s="1" t="n">
        <v>38</v>
      </c>
      <c r="F264" s="1" t="n">
        <f aca="false">SUMIFS(Raw_Data!$H$2:$H$1461,Raw_Data!$A$2:$A$1461,A264)</f>
        <v>129</v>
      </c>
      <c r="G264" s="1" t="n">
        <f aca="false">SUMIFS(Raw_Data!$I$2:$I$1461,Raw_Data!$A$2:$A$1461,A264)</f>
        <v>13625.36</v>
      </c>
      <c r="H264" s="1" t="n">
        <v>300</v>
      </c>
      <c r="I264" s="7" t="n">
        <f aca="false">F264/H264</f>
        <v>0.43</v>
      </c>
      <c r="J264" s="8" t="n">
        <f aca="false">IFERROR(G264/F264,0)</f>
        <v>105.622945736434</v>
      </c>
      <c r="K264" s="8" t="n">
        <f aca="false">G264/H264</f>
        <v>45.4178666666667</v>
      </c>
    </row>
    <row r="265" customFormat="false" ht="15" hidden="false" customHeight="true" outlineLevel="0" collapsed="false">
      <c r="A265" s="1" t="s">
        <v>326</v>
      </c>
      <c r="B265" s="1" t="s">
        <v>57</v>
      </c>
      <c r="C265" s="1" t="s">
        <v>306</v>
      </c>
      <c r="D265" s="1" t="n">
        <v>9</v>
      </c>
      <c r="E265" s="1" t="n">
        <v>38</v>
      </c>
      <c r="F265" s="1" t="n">
        <f aca="false">SUMIFS(Raw_Data!$H$2:$H$1461,Raw_Data!$A$2:$A$1461,A265)</f>
        <v>130</v>
      </c>
      <c r="G265" s="1" t="n">
        <f aca="false">SUMIFS(Raw_Data!$I$2:$I$1461,Raw_Data!$A$2:$A$1461,A265)</f>
        <v>13889.1</v>
      </c>
      <c r="H265" s="1" t="n">
        <v>300</v>
      </c>
      <c r="I265" s="7" t="n">
        <f aca="false">F265/H265</f>
        <v>0.433333333333333</v>
      </c>
      <c r="J265" s="8" t="n">
        <f aca="false">IFERROR(G265/F265,0)</f>
        <v>106.839230769231</v>
      </c>
      <c r="K265" s="8" t="n">
        <f aca="false">G265/H265</f>
        <v>46.297</v>
      </c>
    </row>
    <row r="266" customFormat="false" ht="15" hidden="false" customHeight="true" outlineLevel="0" collapsed="false">
      <c r="A266" s="1" t="s">
        <v>327</v>
      </c>
      <c r="B266" s="1" t="s">
        <v>59</v>
      </c>
      <c r="C266" s="1" t="s">
        <v>306</v>
      </c>
      <c r="D266" s="1" t="n">
        <v>9</v>
      </c>
      <c r="E266" s="1" t="n">
        <v>39</v>
      </c>
      <c r="F266" s="1" t="n">
        <f aca="false">SUMIFS(Raw_Data!$H$2:$H$1461,Raw_Data!$A$2:$A$1461,A266)</f>
        <v>183</v>
      </c>
      <c r="G266" s="1" t="n">
        <f aca="false">SUMIFS(Raw_Data!$I$2:$I$1461,Raw_Data!$A$2:$A$1461,A266)</f>
        <v>19418.11</v>
      </c>
      <c r="H266" s="1" t="n">
        <v>300</v>
      </c>
      <c r="I266" s="7" t="n">
        <f aca="false">F266/H266</f>
        <v>0.61</v>
      </c>
      <c r="J266" s="8" t="n">
        <f aca="false">IFERROR(G266/F266,0)</f>
        <v>106.109890710383</v>
      </c>
      <c r="K266" s="8" t="n">
        <f aca="false">G266/H266</f>
        <v>64.7270333333333</v>
      </c>
    </row>
    <row r="267" customFormat="false" ht="15" hidden="false" customHeight="true" outlineLevel="0" collapsed="false">
      <c r="A267" s="1" t="s">
        <v>328</v>
      </c>
      <c r="B267" s="1" t="s">
        <v>61</v>
      </c>
      <c r="C267" s="1" t="s">
        <v>306</v>
      </c>
      <c r="D267" s="1" t="n">
        <v>9</v>
      </c>
      <c r="E267" s="1" t="n">
        <v>39</v>
      </c>
      <c r="F267" s="1" t="n">
        <f aca="false">SUMIFS(Raw_Data!$H$2:$H$1461,Raw_Data!$A$2:$A$1461,A267)</f>
        <v>209</v>
      </c>
      <c r="G267" s="1" t="n">
        <f aca="false">SUMIFS(Raw_Data!$I$2:$I$1461,Raw_Data!$A$2:$A$1461,A267)</f>
        <v>24460.27</v>
      </c>
      <c r="H267" s="1" t="n">
        <v>300</v>
      </c>
      <c r="I267" s="7" t="n">
        <f aca="false">F267/H267</f>
        <v>0.696666666666667</v>
      </c>
      <c r="J267" s="8" t="n">
        <f aca="false">IFERROR(G267/F267,0)</f>
        <v>117.034784688995</v>
      </c>
      <c r="K267" s="8" t="n">
        <f aca="false">G267/H267</f>
        <v>81.5342333333333</v>
      </c>
    </row>
    <row r="268" customFormat="false" ht="15" hidden="false" customHeight="true" outlineLevel="0" collapsed="false">
      <c r="A268" s="1" t="s">
        <v>329</v>
      </c>
      <c r="B268" s="1" t="s">
        <v>41</v>
      </c>
      <c r="C268" s="1" t="s">
        <v>306</v>
      </c>
      <c r="D268" s="1" t="n">
        <v>9</v>
      </c>
      <c r="E268" s="1" t="n">
        <v>39</v>
      </c>
      <c r="F268" s="1" t="n">
        <f aca="false">SUMIFS(Raw_Data!$H$2:$H$1461,Raw_Data!$A$2:$A$1461,A268)</f>
        <v>199</v>
      </c>
      <c r="G268" s="1" t="n">
        <f aca="false">SUMIFS(Raw_Data!$I$2:$I$1461,Raw_Data!$A$2:$A$1461,A268)</f>
        <v>22727.7</v>
      </c>
      <c r="H268" s="1" t="n">
        <v>300</v>
      </c>
      <c r="I268" s="7" t="n">
        <f aca="false">F268/H268</f>
        <v>0.663333333333333</v>
      </c>
      <c r="J268" s="8" t="n">
        <f aca="false">IFERROR(G268/F268,0)</f>
        <v>114.209547738693</v>
      </c>
      <c r="K268" s="8" t="n">
        <f aca="false">G268/H268</f>
        <v>75.759</v>
      </c>
    </row>
    <row r="269" customFormat="false" ht="15" hidden="false" customHeight="true" outlineLevel="0" collapsed="false">
      <c r="A269" s="1" t="s">
        <v>330</v>
      </c>
      <c r="B269" s="1" t="s">
        <v>51</v>
      </c>
      <c r="C269" s="1" t="s">
        <v>306</v>
      </c>
      <c r="D269" s="1" t="n">
        <v>9</v>
      </c>
      <c r="E269" s="1" t="n">
        <v>39</v>
      </c>
      <c r="F269" s="1" t="n">
        <f aca="false">SUMIFS(Raw_Data!$H$2:$H$1461,Raw_Data!$A$2:$A$1461,A269)</f>
        <v>190</v>
      </c>
      <c r="G269" s="1" t="n">
        <f aca="false">SUMIFS(Raw_Data!$I$2:$I$1461,Raw_Data!$A$2:$A$1461,A269)</f>
        <v>22117.42</v>
      </c>
      <c r="H269" s="1" t="n">
        <v>300</v>
      </c>
      <c r="I269" s="7" t="n">
        <f aca="false">F269/H269</f>
        <v>0.633333333333333</v>
      </c>
      <c r="J269" s="8" t="n">
        <f aca="false">IFERROR(G269/F269,0)</f>
        <v>116.407473684211</v>
      </c>
      <c r="K269" s="8" t="n">
        <f aca="false">G269/H269</f>
        <v>73.7247333333333</v>
      </c>
    </row>
    <row r="270" customFormat="false" ht="15" hidden="false" customHeight="true" outlineLevel="0" collapsed="false">
      <c r="A270" s="1" t="s">
        <v>331</v>
      </c>
      <c r="B270" s="1" t="s">
        <v>53</v>
      </c>
      <c r="C270" s="1" t="s">
        <v>306</v>
      </c>
      <c r="D270" s="1" t="n">
        <v>9</v>
      </c>
      <c r="E270" s="1" t="n">
        <v>39</v>
      </c>
      <c r="F270" s="1" t="n">
        <f aca="false">SUMIFS(Raw_Data!$H$2:$H$1461,Raw_Data!$A$2:$A$1461,A270)</f>
        <v>184</v>
      </c>
      <c r="G270" s="1" t="n">
        <f aca="false">SUMIFS(Raw_Data!$I$2:$I$1461,Raw_Data!$A$2:$A$1461,A270)</f>
        <v>21408.13</v>
      </c>
      <c r="H270" s="1" t="n">
        <v>300</v>
      </c>
      <c r="I270" s="7" t="n">
        <f aca="false">F270/H270</f>
        <v>0.613333333333333</v>
      </c>
      <c r="J270" s="8" t="n">
        <f aca="false">IFERROR(G270/F270,0)</f>
        <v>116.348532608696</v>
      </c>
      <c r="K270" s="8" t="n">
        <f aca="false">G270/H270</f>
        <v>71.3604333333333</v>
      </c>
    </row>
    <row r="271" customFormat="false" ht="15" hidden="false" customHeight="true" outlineLevel="0" collapsed="false">
      <c r="A271" s="1" t="s">
        <v>332</v>
      </c>
      <c r="B271" s="1" t="s">
        <v>55</v>
      </c>
      <c r="C271" s="1" t="s">
        <v>306</v>
      </c>
      <c r="D271" s="1" t="n">
        <v>9</v>
      </c>
      <c r="E271" s="1" t="n">
        <v>39</v>
      </c>
      <c r="F271" s="1" t="n">
        <f aca="false">SUMIFS(Raw_Data!$H$2:$H$1461,Raw_Data!$A$2:$A$1461,A271)</f>
        <v>137</v>
      </c>
      <c r="G271" s="1" t="n">
        <f aca="false">SUMIFS(Raw_Data!$I$2:$I$1461,Raw_Data!$A$2:$A$1461,A271)</f>
        <v>14026.19</v>
      </c>
      <c r="H271" s="1" t="n">
        <v>300</v>
      </c>
      <c r="I271" s="7" t="n">
        <f aca="false">F271/H271</f>
        <v>0.456666666666667</v>
      </c>
      <c r="J271" s="8" t="n">
        <f aca="false">IFERROR(G271/F271,0)</f>
        <v>102.380948905109</v>
      </c>
      <c r="K271" s="8" t="n">
        <f aca="false">G271/H271</f>
        <v>46.7539666666667</v>
      </c>
    </row>
    <row r="272" customFormat="false" ht="15" hidden="false" customHeight="true" outlineLevel="0" collapsed="false">
      <c r="A272" s="1" t="s">
        <v>333</v>
      </c>
      <c r="B272" s="1" t="s">
        <v>57</v>
      </c>
      <c r="C272" s="1" t="s">
        <v>306</v>
      </c>
      <c r="D272" s="1" t="n">
        <v>9</v>
      </c>
      <c r="E272" s="1" t="n">
        <v>39</v>
      </c>
      <c r="F272" s="1" t="n">
        <f aca="false">SUMIFS(Raw_Data!$H$2:$H$1461,Raw_Data!$A$2:$A$1461,A272)</f>
        <v>139</v>
      </c>
      <c r="G272" s="1" t="n">
        <f aca="false">SUMIFS(Raw_Data!$I$2:$I$1461,Raw_Data!$A$2:$A$1461,A272)</f>
        <v>14486.14</v>
      </c>
      <c r="H272" s="1" t="n">
        <v>300</v>
      </c>
      <c r="I272" s="7" t="n">
        <f aca="false">F272/H272</f>
        <v>0.463333333333333</v>
      </c>
      <c r="J272" s="8" t="n">
        <f aca="false">IFERROR(G272/F272,0)</f>
        <v>104.216834532374</v>
      </c>
      <c r="K272" s="8" t="n">
        <f aca="false">G272/H272</f>
        <v>48.2871333333333</v>
      </c>
    </row>
    <row r="273" customFormat="false" ht="15" hidden="false" customHeight="true" outlineLevel="0" collapsed="false">
      <c r="A273" s="1" t="s">
        <v>334</v>
      </c>
      <c r="B273" s="1" t="s">
        <v>59</v>
      </c>
      <c r="C273" s="1" t="s">
        <v>306</v>
      </c>
      <c r="D273" s="1" t="n">
        <v>9</v>
      </c>
      <c r="E273" s="1" t="n">
        <v>40</v>
      </c>
      <c r="F273" s="1" t="n">
        <f aca="false">SUMIFS(Raw_Data!$H$2:$H$1461,Raw_Data!$A$2:$A$1461,A273)</f>
        <v>187</v>
      </c>
      <c r="G273" s="1" t="n">
        <f aca="false">SUMIFS(Raw_Data!$I$2:$I$1461,Raw_Data!$A$2:$A$1461,A273)</f>
        <v>21473.62</v>
      </c>
      <c r="H273" s="1" t="n">
        <v>300</v>
      </c>
      <c r="I273" s="7" t="n">
        <f aca="false">F273/H273</f>
        <v>0.623333333333333</v>
      </c>
      <c r="J273" s="8" t="n">
        <f aca="false">IFERROR(G273/F273,0)</f>
        <v>114.832192513369</v>
      </c>
      <c r="K273" s="8" t="n">
        <f aca="false">G273/H273</f>
        <v>71.5787333333333</v>
      </c>
    </row>
    <row r="274" customFormat="false" ht="15" hidden="false" customHeight="true" outlineLevel="0" collapsed="false">
      <c r="A274" s="1" t="s">
        <v>335</v>
      </c>
      <c r="B274" s="1" t="s">
        <v>61</v>
      </c>
      <c r="C274" s="1" t="s">
        <v>306</v>
      </c>
      <c r="D274" s="1" t="n">
        <v>9</v>
      </c>
      <c r="E274" s="1" t="n">
        <v>40</v>
      </c>
      <c r="F274" s="1" t="n">
        <f aca="false">SUMIFS(Raw_Data!$H$2:$H$1461,Raw_Data!$A$2:$A$1461,A274)</f>
        <v>177</v>
      </c>
      <c r="G274" s="1" t="n">
        <f aca="false">SUMIFS(Raw_Data!$I$2:$I$1461,Raw_Data!$A$2:$A$1461,A274)</f>
        <v>19782.35</v>
      </c>
      <c r="H274" s="1" t="n">
        <v>300</v>
      </c>
      <c r="I274" s="7" t="n">
        <f aca="false">F274/H274</f>
        <v>0.59</v>
      </c>
      <c r="J274" s="8" t="n">
        <f aca="false">IFERROR(G274/F274,0)</f>
        <v>111.764689265537</v>
      </c>
      <c r="K274" s="8" t="n">
        <f aca="false">G274/H274</f>
        <v>65.9411666666667</v>
      </c>
    </row>
    <row r="275" customFormat="false" ht="15" hidden="false" customHeight="true" outlineLevel="0" collapsed="false">
      <c r="A275" s="1" t="s">
        <v>336</v>
      </c>
      <c r="B275" s="1" t="s">
        <v>41</v>
      </c>
      <c r="C275" s="1" t="s">
        <v>337</v>
      </c>
      <c r="D275" s="1" t="n">
        <v>10</v>
      </c>
      <c r="E275" s="1" t="n">
        <v>40</v>
      </c>
      <c r="F275" s="1" t="n">
        <f aca="false">SUMIFS(Raw_Data!$H$2:$H$1461,Raw_Data!$A$2:$A$1461,A275)</f>
        <v>164</v>
      </c>
      <c r="G275" s="1" t="n">
        <f aca="false">SUMIFS(Raw_Data!$I$2:$I$1461,Raw_Data!$A$2:$A$1461,A275)</f>
        <v>19278.12</v>
      </c>
      <c r="H275" s="1" t="n">
        <v>300</v>
      </c>
      <c r="I275" s="7" t="n">
        <f aca="false">F275/H275</f>
        <v>0.546666666666667</v>
      </c>
      <c r="J275" s="8" t="n">
        <f aca="false">IFERROR(G275/F275,0)</f>
        <v>117.549512195122</v>
      </c>
      <c r="K275" s="8" t="n">
        <f aca="false">G275/H275</f>
        <v>64.2604</v>
      </c>
    </row>
    <row r="276" customFormat="false" ht="15" hidden="false" customHeight="true" outlineLevel="0" collapsed="false">
      <c r="A276" s="1" t="s">
        <v>338</v>
      </c>
      <c r="B276" s="1" t="s">
        <v>51</v>
      </c>
      <c r="C276" s="1" t="s">
        <v>337</v>
      </c>
      <c r="D276" s="1" t="n">
        <v>10</v>
      </c>
      <c r="E276" s="1" t="n">
        <v>40</v>
      </c>
      <c r="F276" s="1" t="n">
        <f aca="false">SUMIFS(Raw_Data!$H$2:$H$1461,Raw_Data!$A$2:$A$1461,A276)</f>
        <v>214</v>
      </c>
      <c r="G276" s="1" t="n">
        <f aca="false">SUMIFS(Raw_Data!$I$2:$I$1461,Raw_Data!$A$2:$A$1461,A276)</f>
        <v>22814.79</v>
      </c>
      <c r="H276" s="1" t="n">
        <v>300</v>
      </c>
      <c r="I276" s="7" t="n">
        <f aca="false">F276/H276</f>
        <v>0.713333333333333</v>
      </c>
      <c r="J276" s="8" t="n">
        <f aca="false">IFERROR(G276/F276,0)</f>
        <v>106.611168224299</v>
      </c>
      <c r="K276" s="8" t="n">
        <f aca="false">G276/H276</f>
        <v>76.0493</v>
      </c>
    </row>
    <row r="277" customFormat="false" ht="15" hidden="false" customHeight="true" outlineLevel="0" collapsed="false">
      <c r="A277" s="1" t="s">
        <v>339</v>
      </c>
      <c r="B277" s="1" t="s">
        <v>53</v>
      </c>
      <c r="C277" s="1" t="s">
        <v>337</v>
      </c>
      <c r="D277" s="1" t="n">
        <v>10</v>
      </c>
      <c r="E277" s="1" t="n">
        <v>40</v>
      </c>
      <c r="F277" s="1" t="n">
        <f aca="false">SUMIFS(Raw_Data!$H$2:$H$1461,Raw_Data!$A$2:$A$1461,A277)</f>
        <v>215</v>
      </c>
      <c r="G277" s="1" t="n">
        <f aca="false">SUMIFS(Raw_Data!$I$2:$I$1461,Raw_Data!$A$2:$A$1461,A277)</f>
        <v>23881.9</v>
      </c>
      <c r="H277" s="1" t="n">
        <v>300</v>
      </c>
      <c r="I277" s="7" t="n">
        <f aca="false">F277/H277</f>
        <v>0.716666666666667</v>
      </c>
      <c r="J277" s="8" t="n">
        <f aca="false">IFERROR(G277/F277,0)</f>
        <v>111.078604651163</v>
      </c>
      <c r="K277" s="8" t="n">
        <f aca="false">G277/H277</f>
        <v>79.6063333333333</v>
      </c>
    </row>
    <row r="278" customFormat="false" ht="15" hidden="false" customHeight="true" outlineLevel="0" collapsed="false">
      <c r="A278" s="1" t="s">
        <v>340</v>
      </c>
      <c r="B278" s="1" t="s">
        <v>55</v>
      </c>
      <c r="C278" s="1" t="s">
        <v>337</v>
      </c>
      <c r="D278" s="1" t="n">
        <v>10</v>
      </c>
      <c r="E278" s="1" t="n">
        <v>40</v>
      </c>
      <c r="F278" s="1" t="n">
        <f aca="false">SUMIFS(Raw_Data!$H$2:$H$1461,Raw_Data!$A$2:$A$1461,A278)</f>
        <v>134</v>
      </c>
      <c r="G278" s="1" t="n">
        <f aca="false">SUMIFS(Raw_Data!$I$2:$I$1461,Raw_Data!$A$2:$A$1461,A278)</f>
        <v>14148.99</v>
      </c>
      <c r="H278" s="1" t="n">
        <v>300</v>
      </c>
      <c r="I278" s="7" t="n">
        <f aca="false">F278/H278</f>
        <v>0.446666666666667</v>
      </c>
      <c r="J278" s="8" t="n">
        <f aca="false">IFERROR(G278/F278,0)</f>
        <v>105.58947761194</v>
      </c>
      <c r="K278" s="8" t="n">
        <f aca="false">G278/H278</f>
        <v>47.1633</v>
      </c>
    </row>
    <row r="279" customFormat="false" ht="15" hidden="false" customHeight="true" outlineLevel="0" collapsed="false">
      <c r="A279" s="1" t="s">
        <v>341</v>
      </c>
      <c r="B279" s="1" t="s">
        <v>57</v>
      </c>
      <c r="C279" s="1" t="s">
        <v>337</v>
      </c>
      <c r="D279" s="1" t="n">
        <v>10</v>
      </c>
      <c r="E279" s="1" t="n">
        <v>40</v>
      </c>
      <c r="F279" s="1" t="n">
        <f aca="false">SUMIFS(Raw_Data!$H$2:$H$1461,Raw_Data!$A$2:$A$1461,A279)</f>
        <v>153</v>
      </c>
      <c r="G279" s="1" t="n">
        <f aca="false">SUMIFS(Raw_Data!$I$2:$I$1461,Raw_Data!$A$2:$A$1461,A279)</f>
        <v>15674.36</v>
      </c>
      <c r="H279" s="1" t="n">
        <v>300</v>
      </c>
      <c r="I279" s="7" t="n">
        <f aca="false">F279/H279</f>
        <v>0.51</v>
      </c>
      <c r="J279" s="8" t="n">
        <f aca="false">IFERROR(G279/F279,0)</f>
        <v>102.446797385621</v>
      </c>
      <c r="K279" s="8" t="n">
        <f aca="false">G279/H279</f>
        <v>52.2478666666667</v>
      </c>
    </row>
    <row r="280" customFormat="false" ht="15" hidden="false" customHeight="true" outlineLevel="0" collapsed="false">
      <c r="A280" s="1" t="s">
        <v>342</v>
      </c>
      <c r="B280" s="1" t="s">
        <v>59</v>
      </c>
      <c r="C280" s="1" t="s">
        <v>337</v>
      </c>
      <c r="D280" s="1" t="n">
        <v>10</v>
      </c>
      <c r="E280" s="1" t="n">
        <v>41</v>
      </c>
      <c r="F280" s="1" t="n">
        <f aca="false">SUMIFS(Raw_Data!$H$2:$H$1461,Raw_Data!$A$2:$A$1461,A280)</f>
        <v>183</v>
      </c>
      <c r="G280" s="1" t="n">
        <f aca="false">SUMIFS(Raw_Data!$I$2:$I$1461,Raw_Data!$A$2:$A$1461,A280)</f>
        <v>21593.72</v>
      </c>
      <c r="H280" s="1" t="n">
        <v>300</v>
      </c>
      <c r="I280" s="7" t="n">
        <f aca="false">F280/H280</f>
        <v>0.61</v>
      </c>
      <c r="J280" s="8" t="n">
        <f aca="false">IFERROR(G280/F280,0)</f>
        <v>117.998469945355</v>
      </c>
      <c r="K280" s="8" t="n">
        <f aca="false">G280/H280</f>
        <v>71.9790666666667</v>
      </c>
    </row>
    <row r="281" customFormat="false" ht="15" hidden="false" customHeight="true" outlineLevel="0" collapsed="false">
      <c r="A281" s="1" t="s">
        <v>343</v>
      </c>
      <c r="B281" s="1" t="s">
        <v>61</v>
      </c>
      <c r="C281" s="1" t="s">
        <v>337</v>
      </c>
      <c r="D281" s="1" t="n">
        <v>10</v>
      </c>
      <c r="E281" s="1" t="n">
        <v>41</v>
      </c>
      <c r="F281" s="1" t="n">
        <f aca="false">SUMIFS(Raw_Data!$H$2:$H$1461,Raw_Data!$A$2:$A$1461,A281)</f>
        <v>171</v>
      </c>
      <c r="G281" s="1" t="n">
        <f aca="false">SUMIFS(Raw_Data!$I$2:$I$1461,Raw_Data!$A$2:$A$1461,A281)</f>
        <v>19535.44</v>
      </c>
      <c r="H281" s="1" t="n">
        <v>300</v>
      </c>
      <c r="I281" s="7" t="n">
        <f aca="false">F281/H281</f>
        <v>0.57</v>
      </c>
      <c r="J281" s="8" t="n">
        <f aca="false">IFERROR(G281/F281,0)</f>
        <v>114.242339181287</v>
      </c>
      <c r="K281" s="8" t="n">
        <f aca="false">G281/H281</f>
        <v>65.1181333333333</v>
      </c>
    </row>
    <row r="282" customFormat="false" ht="15" hidden="false" customHeight="true" outlineLevel="0" collapsed="false">
      <c r="A282" s="1" t="s">
        <v>344</v>
      </c>
      <c r="B282" s="1" t="s">
        <v>41</v>
      </c>
      <c r="C282" s="1" t="s">
        <v>337</v>
      </c>
      <c r="D282" s="1" t="n">
        <v>10</v>
      </c>
      <c r="E282" s="1" t="n">
        <v>41</v>
      </c>
      <c r="F282" s="1" t="n">
        <f aca="false">SUMIFS(Raw_Data!$H$2:$H$1461,Raw_Data!$A$2:$A$1461,A282)</f>
        <v>200</v>
      </c>
      <c r="G282" s="1" t="n">
        <f aca="false">SUMIFS(Raw_Data!$I$2:$I$1461,Raw_Data!$A$2:$A$1461,A282)</f>
        <v>22279.99</v>
      </c>
      <c r="H282" s="1" t="n">
        <v>300</v>
      </c>
      <c r="I282" s="7" t="n">
        <f aca="false">F282/H282</f>
        <v>0.666666666666667</v>
      </c>
      <c r="J282" s="8" t="n">
        <f aca="false">IFERROR(G282/F282,0)</f>
        <v>111.39995</v>
      </c>
      <c r="K282" s="8" t="n">
        <f aca="false">G282/H282</f>
        <v>74.2666333333334</v>
      </c>
    </row>
    <row r="283" customFormat="false" ht="15" hidden="false" customHeight="true" outlineLevel="0" collapsed="false">
      <c r="A283" s="1" t="s">
        <v>345</v>
      </c>
      <c r="B283" s="1" t="s">
        <v>51</v>
      </c>
      <c r="C283" s="1" t="s">
        <v>337</v>
      </c>
      <c r="D283" s="1" t="n">
        <v>10</v>
      </c>
      <c r="E283" s="1" t="n">
        <v>41</v>
      </c>
      <c r="F283" s="1" t="n">
        <f aca="false">SUMIFS(Raw_Data!$H$2:$H$1461,Raw_Data!$A$2:$A$1461,A283)</f>
        <v>184</v>
      </c>
      <c r="G283" s="1" t="n">
        <f aca="false">SUMIFS(Raw_Data!$I$2:$I$1461,Raw_Data!$A$2:$A$1461,A283)</f>
        <v>21611.3</v>
      </c>
      <c r="H283" s="1" t="n">
        <v>300</v>
      </c>
      <c r="I283" s="7" t="n">
        <f aca="false">F283/H283</f>
        <v>0.613333333333333</v>
      </c>
      <c r="J283" s="8" t="n">
        <f aca="false">IFERROR(G283/F283,0)</f>
        <v>117.452717391304</v>
      </c>
      <c r="K283" s="8" t="n">
        <f aca="false">G283/H283</f>
        <v>72.0376666666667</v>
      </c>
    </row>
    <row r="284" customFormat="false" ht="15" hidden="false" customHeight="true" outlineLevel="0" collapsed="false">
      <c r="A284" s="1" t="s">
        <v>346</v>
      </c>
      <c r="B284" s="1" t="s">
        <v>53</v>
      </c>
      <c r="C284" s="1" t="s">
        <v>337</v>
      </c>
      <c r="D284" s="1" t="n">
        <v>10</v>
      </c>
      <c r="E284" s="1" t="n">
        <v>41</v>
      </c>
      <c r="F284" s="1" t="n">
        <f aca="false">SUMIFS(Raw_Data!$H$2:$H$1461,Raw_Data!$A$2:$A$1461,A284)</f>
        <v>202</v>
      </c>
      <c r="G284" s="1" t="n">
        <f aca="false">SUMIFS(Raw_Data!$I$2:$I$1461,Raw_Data!$A$2:$A$1461,A284)</f>
        <v>22080.97</v>
      </c>
      <c r="H284" s="1" t="n">
        <v>300</v>
      </c>
      <c r="I284" s="7" t="n">
        <f aca="false">F284/H284</f>
        <v>0.673333333333333</v>
      </c>
      <c r="J284" s="8" t="n">
        <f aca="false">IFERROR(G284/F284,0)</f>
        <v>109.311732673267</v>
      </c>
      <c r="K284" s="8" t="n">
        <f aca="false">G284/H284</f>
        <v>73.6032333333333</v>
      </c>
    </row>
    <row r="285" customFormat="false" ht="15" hidden="false" customHeight="true" outlineLevel="0" collapsed="false">
      <c r="A285" s="1" t="s">
        <v>347</v>
      </c>
      <c r="B285" s="1" t="s">
        <v>55</v>
      </c>
      <c r="C285" s="1" t="s">
        <v>337</v>
      </c>
      <c r="D285" s="1" t="n">
        <v>10</v>
      </c>
      <c r="E285" s="1" t="n">
        <v>41</v>
      </c>
      <c r="F285" s="1" t="n">
        <f aca="false">SUMIFS(Raw_Data!$H$2:$H$1461,Raw_Data!$A$2:$A$1461,A285)</f>
        <v>133</v>
      </c>
      <c r="G285" s="1" t="n">
        <f aca="false">SUMIFS(Raw_Data!$I$2:$I$1461,Raw_Data!$A$2:$A$1461,A285)</f>
        <v>13963.98</v>
      </c>
      <c r="H285" s="1" t="n">
        <v>300</v>
      </c>
      <c r="I285" s="7" t="n">
        <f aca="false">F285/H285</f>
        <v>0.443333333333333</v>
      </c>
      <c r="J285" s="8" t="n">
        <f aca="false">IFERROR(G285/F285,0)</f>
        <v>104.992330827068</v>
      </c>
      <c r="K285" s="8" t="n">
        <f aca="false">G285/H285</f>
        <v>46.5466</v>
      </c>
    </row>
    <row r="286" customFormat="false" ht="15" hidden="false" customHeight="true" outlineLevel="0" collapsed="false">
      <c r="A286" s="1" t="s">
        <v>348</v>
      </c>
      <c r="B286" s="1" t="s">
        <v>57</v>
      </c>
      <c r="C286" s="1" t="s">
        <v>337</v>
      </c>
      <c r="D286" s="1" t="n">
        <v>10</v>
      </c>
      <c r="E286" s="1" t="n">
        <v>41</v>
      </c>
      <c r="F286" s="1" t="n">
        <f aca="false">SUMIFS(Raw_Data!$H$2:$H$1461,Raw_Data!$A$2:$A$1461,A286)</f>
        <v>138</v>
      </c>
      <c r="G286" s="1" t="n">
        <f aca="false">SUMIFS(Raw_Data!$I$2:$I$1461,Raw_Data!$A$2:$A$1461,A286)</f>
        <v>13880.12</v>
      </c>
      <c r="H286" s="1" t="n">
        <v>300</v>
      </c>
      <c r="I286" s="7" t="n">
        <f aca="false">F286/H286</f>
        <v>0.46</v>
      </c>
      <c r="J286" s="8" t="n">
        <f aca="false">IFERROR(G286/F286,0)</f>
        <v>100.580579710145</v>
      </c>
      <c r="K286" s="8" t="n">
        <f aca="false">G286/H286</f>
        <v>46.2670666666667</v>
      </c>
    </row>
    <row r="287" customFormat="false" ht="15" hidden="false" customHeight="true" outlineLevel="0" collapsed="false">
      <c r="A287" s="1" t="s">
        <v>349</v>
      </c>
      <c r="B287" s="1" t="s">
        <v>59</v>
      </c>
      <c r="C287" s="1" t="s">
        <v>337</v>
      </c>
      <c r="D287" s="1" t="n">
        <v>10</v>
      </c>
      <c r="E287" s="1" t="n">
        <v>42</v>
      </c>
      <c r="F287" s="1" t="n">
        <f aca="false">SUMIFS(Raw_Data!$H$2:$H$1461,Raw_Data!$A$2:$A$1461,A287)</f>
        <v>181</v>
      </c>
      <c r="G287" s="1" t="n">
        <f aca="false">SUMIFS(Raw_Data!$I$2:$I$1461,Raw_Data!$A$2:$A$1461,A287)</f>
        <v>19399.24</v>
      </c>
      <c r="H287" s="1" t="n">
        <v>300</v>
      </c>
      <c r="I287" s="7" t="n">
        <f aca="false">F287/H287</f>
        <v>0.603333333333333</v>
      </c>
      <c r="J287" s="8" t="n">
        <f aca="false">IFERROR(G287/F287,0)</f>
        <v>107.178121546961</v>
      </c>
      <c r="K287" s="8" t="n">
        <f aca="false">G287/H287</f>
        <v>64.6641333333333</v>
      </c>
    </row>
    <row r="288" customFormat="false" ht="15" hidden="false" customHeight="true" outlineLevel="0" collapsed="false">
      <c r="A288" s="1" t="s">
        <v>350</v>
      </c>
      <c r="B288" s="1" t="s">
        <v>61</v>
      </c>
      <c r="C288" s="1" t="s">
        <v>337</v>
      </c>
      <c r="D288" s="1" t="n">
        <v>10</v>
      </c>
      <c r="E288" s="1" t="n">
        <v>42</v>
      </c>
      <c r="F288" s="1" t="n">
        <f aca="false">SUMIFS(Raw_Data!$H$2:$H$1461,Raw_Data!$A$2:$A$1461,A288)</f>
        <v>190</v>
      </c>
      <c r="G288" s="1" t="n">
        <f aca="false">SUMIFS(Raw_Data!$I$2:$I$1461,Raw_Data!$A$2:$A$1461,A288)</f>
        <v>22312.18</v>
      </c>
      <c r="H288" s="1" t="n">
        <v>300</v>
      </c>
      <c r="I288" s="7" t="n">
        <f aca="false">F288/H288</f>
        <v>0.633333333333333</v>
      </c>
      <c r="J288" s="8" t="n">
        <f aca="false">IFERROR(G288/F288,0)</f>
        <v>117.432526315789</v>
      </c>
      <c r="K288" s="8" t="n">
        <f aca="false">G288/H288</f>
        <v>74.3739333333333</v>
      </c>
    </row>
    <row r="289" customFormat="false" ht="15" hidden="false" customHeight="true" outlineLevel="0" collapsed="false">
      <c r="A289" s="1" t="s">
        <v>351</v>
      </c>
      <c r="B289" s="1" t="s">
        <v>41</v>
      </c>
      <c r="C289" s="1" t="s">
        <v>337</v>
      </c>
      <c r="D289" s="1" t="n">
        <v>10</v>
      </c>
      <c r="E289" s="1" t="n">
        <v>42</v>
      </c>
      <c r="F289" s="1" t="n">
        <f aca="false">SUMIFS(Raw_Data!$H$2:$H$1461,Raw_Data!$A$2:$A$1461,A289)</f>
        <v>200</v>
      </c>
      <c r="G289" s="1" t="n">
        <f aca="false">SUMIFS(Raw_Data!$I$2:$I$1461,Raw_Data!$A$2:$A$1461,A289)</f>
        <v>23073.16</v>
      </c>
      <c r="H289" s="1" t="n">
        <v>300</v>
      </c>
      <c r="I289" s="7" t="n">
        <f aca="false">F289/H289</f>
        <v>0.666666666666667</v>
      </c>
      <c r="J289" s="8" t="n">
        <f aca="false">IFERROR(G289/F289,0)</f>
        <v>115.3658</v>
      </c>
      <c r="K289" s="8" t="n">
        <f aca="false">G289/H289</f>
        <v>76.9105333333333</v>
      </c>
    </row>
    <row r="290" customFormat="false" ht="15" hidden="false" customHeight="true" outlineLevel="0" collapsed="false">
      <c r="A290" s="1" t="s">
        <v>352</v>
      </c>
      <c r="B290" s="1" t="s">
        <v>51</v>
      </c>
      <c r="C290" s="1" t="s">
        <v>337</v>
      </c>
      <c r="D290" s="1" t="n">
        <v>10</v>
      </c>
      <c r="E290" s="1" t="n">
        <v>42</v>
      </c>
      <c r="F290" s="1" t="n">
        <f aca="false">SUMIFS(Raw_Data!$H$2:$H$1461,Raw_Data!$A$2:$A$1461,A290)</f>
        <v>216</v>
      </c>
      <c r="G290" s="1" t="n">
        <f aca="false">SUMIFS(Raw_Data!$I$2:$I$1461,Raw_Data!$A$2:$A$1461,A290)</f>
        <v>27624.33</v>
      </c>
      <c r="H290" s="1" t="n">
        <v>300</v>
      </c>
      <c r="I290" s="7" t="n">
        <f aca="false">F290/H290</f>
        <v>0.72</v>
      </c>
      <c r="J290" s="8" t="n">
        <f aca="false">IFERROR(G290/F290,0)</f>
        <v>127.890416666667</v>
      </c>
      <c r="K290" s="8" t="n">
        <f aca="false">G290/H290</f>
        <v>92.0811</v>
      </c>
    </row>
    <row r="291" customFormat="false" ht="15" hidden="false" customHeight="true" outlineLevel="0" collapsed="false">
      <c r="A291" s="1" t="s">
        <v>353</v>
      </c>
      <c r="B291" s="1" t="s">
        <v>53</v>
      </c>
      <c r="C291" s="1" t="s">
        <v>337</v>
      </c>
      <c r="D291" s="1" t="n">
        <v>10</v>
      </c>
      <c r="E291" s="1" t="n">
        <v>42</v>
      </c>
      <c r="F291" s="1" t="n">
        <f aca="false">SUMIFS(Raw_Data!$H$2:$H$1461,Raw_Data!$A$2:$A$1461,A291)</f>
        <v>199</v>
      </c>
      <c r="G291" s="1" t="n">
        <f aca="false">SUMIFS(Raw_Data!$I$2:$I$1461,Raw_Data!$A$2:$A$1461,A291)</f>
        <v>22356.01</v>
      </c>
      <c r="H291" s="1" t="n">
        <v>300</v>
      </c>
      <c r="I291" s="7" t="n">
        <f aca="false">F291/H291</f>
        <v>0.663333333333333</v>
      </c>
      <c r="J291" s="8" t="n">
        <f aca="false">IFERROR(G291/F291,0)</f>
        <v>112.34175879397</v>
      </c>
      <c r="K291" s="8" t="n">
        <f aca="false">G291/H291</f>
        <v>74.5200333333333</v>
      </c>
    </row>
    <row r="292" customFormat="false" ht="15" hidden="false" customHeight="true" outlineLevel="0" collapsed="false">
      <c r="A292" s="1" t="s">
        <v>354</v>
      </c>
      <c r="B292" s="1" t="s">
        <v>55</v>
      </c>
      <c r="C292" s="1" t="s">
        <v>337</v>
      </c>
      <c r="D292" s="1" t="n">
        <v>10</v>
      </c>
      <c r="E292" s="1" t="n">
        <v>42</v>
      </c>
      <c r="F292" s="1" t="n">
        <f aca="false">SUMIFS(Raw_Data!$H$2:$H$1461,Raw_Data!$A$2:$A$1461,A292)</f>
        <v>140</v>
      </c>
      <c r="G292" s="1" t="n">
        <f aca="false">SUMIFS(Raw_Data!$I$2:$I$1461,Raw_Data!$A$2:$A$1461,A292)</f>
        <v>15435.82</v>
      </c>
      <c r="H292" s="1" t="n">
        <v>300</v>
      </c>
      <c r="I292" s="7" t="n">
        <f aca="false">F292/H292</f>
        <v>0.466666666666667</v>
      </c>
      <c r="J292" s="8" t="n">
        <f aca="false">IFERROR(G292/F292,0)</f>
        <v>110.255857142857</v>
      </c>
      <c r="K292" s="8" t="n">
        <f aca="false">G292/H292</f>
        <v>51.4527333333333</v>
      </c>
    </row>
    <row r="293" customFormat="false" ht="15" hidden="false" customHeight="true" outlineLevel="0" collapsed="false">
      <c r="A293" s="1" t="s">
        <v>355</v>
      </c>
      <c r="B293" s="1" t="s">
        <v>57</v>
      </c>
      <c r="C293" s="1" t="s">
        <v>337</v>
      </c>
      <c r="D293" s="1" t="n">
        <v>10</v>
      </c>
      <c r="E293" s="1" t="n">
        <v>42</v>
      </c>
      <c r="F293" s="1" t="n">
        <f aca="false">SUMIFS(Raw_Data!$H$2:$H$1461,Raw_Data!$A$2:$A$1461,A293)</f>
        <v>142</v>
      </c>
      <c r="G293" s="1" t="n">
        <f aca="false">SUMIFS(Raw_Data!$I$2:$I$1461,Raw_Data!$A$2:$A$1461,A293)</f>
        <v>14961.91</v>
      </c>
      <c r="H293" s="1" t="n">
        <v>300</v>
      </c>
      <c r="I293" s="7" t="n">
        <f aca="false">F293/H293</f>
        <v>0.473333333333333</v>
      </c>
      <c r="J293" s="8" t="n">
        <f aca="false">IFERROR(G293/F293,0)</f>
        <v>105.365563380282</v>
      </c>
      <c r="K293" s="8" t="n">
        <f aca="false">G293/H293</f>
        <v>49.8730333333333</v>
      </c>
    </row>
    <row r="294" customFormat="false" ht="15" hidden="false" customHeight="true" outlineLevel="0" collapsed="false">
      <c r="A294" s="1" t="s">
        <v>356</v>
      </c>
      <c r="B294" s="1" t="s">
        <v>59</v>
      </c>
      <c r="C294" s="1" t="s">
        <v>337</v>
      </c>
      <c r="D294" s="1" t="n">
        <v>10</v>
      </c>
      <c r="E294" s="1" t="n">
        <v>43</v>
      </c>
      <c r="F294" s="1" t="n">
        <f aca="false">SUMIFS(Raw_Data!$H$2:$H$1461,Raw_Data!$A$2:$A$1461,A294)</f>
        <v>201</v>
      </c>
      <c r="G294" s="1" t="n">
        <f aca="false">SUMIFS(Raw_Data!$I$2:$I$1461,Raw_Data!$A$2:$A$1461,A294)</f>
        <v>22346.55</v>
      </c>
      <c r="H294" s="1" t="n">
        <v>300</v>
      </c>
      <c r="I294" s="7" t="n">
        <f aca="false">F294/H294</f>
        <v>0.67</v>
      </c>
      <c r="J294" s="8" t="n">
        <f aca="false">IFERROR(G294/F294,0)</f>
        <v>111.176865671642</v>
      </c>
      <c r="K294" s="8" t="n">
        <f aca="false">G294/H294</f>
        <v>74.4885</v>
      </c>
    </row>
    <row r="295" customFormat="false" ht="15" hidden="false" customHeight="true" outlineLevel="0" collapsed="false">
      <c r="A295" s="1" t="s">
        <v>357</v>
      </c>
      <c r="B295" s="1" t="s">
        <v>61</v>
      </c>
      <c r="C295" s="1" t="s">
        <v>337</v>
      </c>
      <c r="D295" s="1" t="n">
        <v>10</v>
      </c>
      <c r="E295" s="1" t="n">
        <v>43</v>
      </c>
      <c r="F295" s="1" t="n">
        <f aca="false">SUMIFS(Raw_Data!$H$2:$H$1461,Raw_Data!$A$2:$A$1461,A295)</f>
        <v>177</v>
      </c>
      <c r="G295" s="1" t="n">
        <f aca="false">SUMIFS(Raw_Data!$I$2:$I$1461,Raw_Data!$A$2:$A$1461,A295)</f>
        <v>20066.42</v>
      </c>
      <c r="H295" s="1" t="n">
        <v>300</v>
      </c>
      <c r="I295" s="7" t="n">
        <f aca="false">F295/H295</f>
        <v>0.59</v>
      </c>
      <c r="J295" s="8" t="n">
        <f aca="false">IFERROR(G295/F295,0)</f>
        <v>113.369604519774</v>
      </c>
      <c r="K295" s="8" t="n">
        <f aca="false">G295/H295</f>
        <v>66.8880666666667</v>
      </c>
    </row>
    <row r="296" customFormat="false" ht="15" hidden="false" customHeight="true" outlineLevel="0" collapsed="false">
      <c r="A296" s="1" t="s">
        <v>358</v>
      </c>
      <c r="B296" s="1" t="s">
        <v>41</v>
      </c>
      <c r="C296" s="1" t="s">
        <v>337</v>
      </c>
      <c r="D296" s="1" t="n">
        <v>10</v>
      </c>
      <c r="E296" s="1" t="n">
        <v>43</v>
      </c>
      <c r="F296" s="1" t="n">
        <f aca="false">SUMIFS(Raw_Data!$H$2:$H$1461,Raw_Data!$A$2:$A$1461,A296)</f>
        <v>196</v>
      </c>
      <c r="G296" s="1" t="n">
        <f aca="false">SUMIFS(Raw_Data!$I$2:$I$1461,Raw_Data!$A$2:$A$1461,A296)</f>
        <v>21043.66</v>
      </c>
      <c r="H296" s="1" t="n">
        <v>300</v>
      </c>
      <c r="I296" s="7" t="n">
        <f aca="false">F296/H296</f>
        <v>0.653333333333333</v>
      </c>
      <c r="J296" s="8" t="n">
        <f aca="false">IFERROR(G296/F296,0)</f>
        <v>107.365612244898</v>
      </c>
      <c r="K296" s="8" t="n">
        <f aca="false">G296/H296</f>
        <v>70.1455333333333</v>
      </c>
    </row>
    <row r="297" customFormat="false" ht="15" hidden="false" customHeight="true" outlineLevel="0" collapsed="false">
      <c r="A297" s="1" t="s">
        <v>359</v>
      </c>
      <c r="B297" s="1" t="s">
        <v>51</v>
      </c>
      <c r="C297" s="1" t="s">
        <v>337</v>
      </c>
      <c r="D297" s="1" t="n">
        <v>10</v>
      </c>
      <c r="E297" s="1" t="n">
        <v>43</v>
      </c>
      <c r="F297" s="1" t="n">
        <f aca="false">SUMIFS(Raw_Data!$H$2:$H$1461,Raw_Data!$A$2:$A$1461,A297)</f>
        <v>178</v>
      </c>
      <c r="G297" s="1" t="n">
        <f aca="false">SUMIFS(Raw_Data!$I$2:$I$1461,Raw_Data!$A$2:$A$1461,A297)</f>
        <v>18959.91</v>
      </c>
      <c r="H297" s="1" t="n">
        <v>300</v>
      </c>
      <c r="I297" s="7" t="n">
        <f aca="false">F297/H297</f>
        <v>0.593333333333333</v>
      </c>
      <c r="J297" s="8" t="n">
        <f aca="false">IFERROR(G297/F297,0)</f>
        <v>106.516348314607</v>
      </c>
      <c r="K297" s="8" t="n">
        <f aca="false">G297/H297</f>
        <v>63.1997</v>
      </c>
    </row>
    <row r="298" customFormat="false" ht="15" hidden="false" customHeight="true" outlineLevel="0" collapsed="false">
      <c r="A298" s="1" t="s">
        <v>360</v>
      </c>
      <c r="B298" s="1" t="s">
        <v>53</v>
      </c>
      <c r="C298" s="1" t="s">
        <v>337</v>
      </c>
      <c r="D298" s="1" t="n">
        <v>10</v>
      </c>
      <c r="E298" s="1" t="n">
        <v>43</v>
      </c>
      <c r="F298" s="1" t="n">
        <f aca="false">SUMIFS(Raw_Data!$H$2:$H$1461,Raw_Data!$A$2:$A$1461,A298)</f>
        <v>187</v>
      </c>
      <c r="G298" s="1" t="n">
        <f aca="false">SUMIFS(Raw_Data!$I$2:$I$1461,Raw_Data!$A$2:$A$1461,A298)</f>
        <v>21854.68</v>
      </c>
      <c r="H298" s="1" t="n">
        <v>300</v>
      </c>
      <c r="I298" s="7" t="n">
        <f aca="false">F298/H298</f>
        <v>0.623333333333333</v>
      </c>
      <c r="J298" s="8" t="n">
        <f aca="false">IFERROR(G298/F298,0)</f>
        <v>116.869946524064</v>
      </c>
      <c r="K298" s="8" t="n">
        <f aca="false">G298/H298</f>
        <v>72.8489333333333</v>
      </c>
    </row>
    <row r="299" customFormat="false" ht="15" hidden="false" customHeight="true" outlineLevel="0" collapsed="false">
      <c r="A299" s="1" t="s">
        <v>361</v>
      </c>
      <c r="B299" s="1" t="s">
        <v>55</v>
      </c>
      <c r="C299" s="1" t="s">
        <v>337</v>
      </c>
      <c r="D299" s="1" t="n">
        <v>10</v>
      </c>
      <c r="E299" s="1" t="n">
        <v>43</v>
      </c>
      <c r="F299" s="1" t="n">
        <f aca="false">SUMIFS(Raw_Data!$H$2:$H$1461,Raw_Data!$A$2:$A$1461,A299)</f>
        <v>138</v>
      </c>
      <c r="G299" s="1" t="n">
        <f aca="false">SUMIFS(Raw_Data!$I$2:$I$1461,Raw_Data!$A$2:$A$1461,A299)</f>
        <v>14138.86</v>
      </c>
      <c r="H299" s="1" t="n">
        <v>300</v>
      </c>
      <c r="I299" s="7" t="n">
        <f aca="false">F299/H299</f>
        <v>0.46</v>
      </c>
      <c r="J299" s="8" t="n">
        <f aca="false">IFERROR(G299/F299,0)</f>
        <v>102.455507246377</v>
      </c>
      <c r="K299" s="8" t="n">
        <f aca="false">G299/H299</f>
        <v>47.1295333333333</v>
      </c>
    </row>
    <row r="300" customFormat="false" ht="15" hidden="false" customHeight="true" outlineLevel="0" collapsed="false">
      <c r="A300" s="1" t="s">
        <v>362</v>
      </c>
      <c r="B300" s="1" t="s">
        <v>57</v>
      </c>
      <c r="C300" s="1" t="s">
        <v>337</v>
      </c>
      <c r="D300" s="1" t="n">
        <v>10</v>
      </c>
      <c r="E300" s="1" t="n">
        <v>43</v>
      </c>
      <c r="F300" s="1" t="n">
        <f aca="false">SUMIFS(Raw_Data!$H$2:$H$1461,Raw_Data!$A$2:$A$1461,A300)</f>
        <v>133</v>
      </c>
      <c r="G300" s="1" t="n">
        <f aca="false">SUMIFS(Raw_Data!$I$2:$I$1461,Raw_Data!$A$2:$A$1461,A300)</f>
        <v>13369.92</v>
      </c>
      <c r="H300" s="1" t="n">
        <v>300</v>
      </c>
      <c r="I300" s="7" t="n">
        <f aca="false">F300/H300</f>
        <v>0.443333333333333</v>
      </c>
      <c r="J300" s="8" t="n">
        <f aca="false">IFERROR(G300/F300,0)</f>
        <v>100.525714285714</v>
      </c>
      <c r="K300" s="8" t="n">
        <f aca="false">G300/H300</f>
        <v>44.5664</v>
      </c>
    </row>
    <row r="301" customFormat="false" ht="15" hidden="false" customHeight="true" outlineLevel="0" collapsed="false">
      <c r="A301" s="1" t="s">
        <v>363</v>
      </c>
      <c r="B301" s="1" t="s">
        <v>59</v>
      </c>
      <c r="C301" s="1" t="s">
        <v>337</v>
      </c>
      <c r="D301" s="1" t="n">
        <v>10</v>
      </c>
      <c r="E301" s="1" t="n">
        <v>44</v>
      </c>
      <c r="F301" s="1" t="n">
        <f aca="false">SUMIFS(Raw_Data!$H$2:$H$1461,Raw_Data!$A$2:$A$1461,A301)</f>
        <v>177</v>
      </c>
      <c r="G301" s="1" t="n">
        <f aca="false">SUMIFS(Raw_Data!$I$2:$I$1461,Raw_Data!$A$2:$A$1461,A301)</f>
        <v>18805.22</v>
      </c>
      <c r="H301" s="1" t="n">
        <v>300</v>
      </c>
      <c r="I301" s="7" t="n">
        <f aca="false">F301/H301</f>
        <v>0.59</v>
      </c>
      <c r="J301" s="8" t="n">
        <f aca="false">IFERROR(G301/F301,0)</f>
        <v>106.24418079096</v>
      </c>
      <c r="K301" s="8" t="n">
        <f aca="false">G301/H301</f>
        <v>62.6840666666667</v>
      </c>
    </row>
    <row r="302" customFormat="false" ht="15" hidden="false" customHeight="true" outlineLevel="0" collapsed="false">
      <c r="A302" s="1" t="s">
        <v>364</v>
      </c>
      <c r="B302" s="1" t="s">
        <v>61</v>
      </c>
      <c r="C302" s="1" t="s">
        <v>337</v>
      </c>
      <c r="D302" s="1" t="n">
        <v>10</v>
      </c>
      <c r="E302" s="1" t="n">
        <v>44</v>
      </c>
      <c r="F302" s="1" t="n">
        <f aca="false">SUMIFS(Raw_Data!$H$2:$H$1461,Raw_Data!$A$2:$A$1461,A302)</f>
        <v>186</v>
      </c>
      <c r="G302" s="1" t="n">
        <f aca="false">SUMIFS(Raw_Data!$I$2:$I$1461,Raw_Data!$A$2:$A$1461,A302)</f>
        <v>21200.22</v>
      </c>
      <c r="H302" s="1" t="n">
        <v>300</v>
      </c>
      <c r="I302" s="7" t="n">
        <f aca="false">F302/H302</f>
        <v>0.62</v>
      </c>
      <c r="J302" s="8" t="n">
        <f aca="false">IFERROR(G302/F302,0)</f>
        <v>113.979677419355</v>
      </c>
      <c r="K302" s="8" t="n">
        <f aca="false">G302/H302</f>
        <v>70.6674</v>
      </c>
    </row>
    <row r="303" customFormat="false" ht="15" hidden="false" customHeight="true" outlineLevel="0" collapsed="false">
      <c r="A303" s="1" t="s">
        <v>365</v>
      </c>
      <c r="B303" s="1" t="s">
        <v>41</v>
      </c>
      <c r="C303" s="1" t="s">
        <v>337</v>
      </c>
      <c r="D303" s="1" t="n">
        <v>10</v>
      </c>
      <c r="E303" s="1" t="n">
        <v>44</v>
      </c>
      <c r="F303" s="1" t="n">
        <f aca="false">SUMIFS(Raw_Data!$H$2:$H$1461,Raw_Data!$A$2:$A$1461,A303)</f>
        <v>203</v>
      </c>
      <c r="G303" s="1" t="n">
        <f aca="false">SUMIFS(Raw_Data!$I$2:$I$1461,Raw_Data!$A$2:$A$1461,A303)</f>
        <v>21869.36</v>
      </c>
      <c r="H303" s="1" t="n">
        <v>300</v>
      </c>
      <c r="I303" s="7" t="n">
        <f aca="false">F303/H303</f>
        <v>0.676666666666667</v>
      </c>
      <c r="J303" s="8" t="n">
        <f aca="false">IFERROR(G303/F303,0)</f>
        <v>107.730837438424</v>
      </c>
      <c r="K303" s="8" t="n">
        <f aca="false">G303/H303</f>
        <v>72.8978666666667</v>
      </c>
    </row>
    <row r="304" customFormat="false" ht="15" hidden="false" customHeight="true" outlineLevel="0" collapsed="false">
      <c r="A304" s="1" t="s">
        <v>366</v>
      </c>
      <c r="B304" s="1" t="s">
        <v>51</v>
      </c>
      <c r="C304" s="1" t="s">
        <v>337</v>
      </c>
      <c r="D304" s="1" t="n">
        <v>10</v>
      </c>
      <c r="E304" s="1" t="n">
        <v>44</v>
      </c>
      <c r="F304" s="1" t="n">
        <f aca="false">SUMIFS(Raw_Data!$H$2:$H$1461,Raw_Data!$A$2:$A$1461,A304)</f>
        <v>202</v>
      </c>
      <c r="G304" s="1" t="n">
        <f aca="false">SUMIFS(Raw_Data!$I$2:$I$1461,Raw_Data!$A$2:$A$1461,A304)</f>
        <v>22875.23</v>
      </c>
      <c r="H304" s="1" t="n">
        <v>300</v>
      </c>
      <c r="I304" s="7" t="n">
        <f aca="false">F304/H304</f>
        <v>0.673333333333333</v>
      </c>
      <c r="J304" s="8" t="n">
        <f aca="false">IFERROR(G304/F304,0)</f>
        <v>113.243712871287</v>
      </c>
      <c r="K304" s="8" t="n">
        <f aca="false">G304/H304</f>
        <v>76.2507666666667</v>
      </c>
    </row>
    <row r="305" customFormat="false" ht="15" hidden="false" customHeight="true" outlineLevel="0" collapsed="false">
      <c r="A305" s="1" t="s">
        <v>367</v>
      </c>
      <c r="B305" s="1" t="s">
        <v>53</v>
      </c>
      <c r="C305" s="1" t="s">
        <v>337</v>
      </c>
      <c r="D305" s="1" t="n">
        <v>10</v>
      </c>
      <c r="E305" s="1" t="n">
        <v>44</v>
      </c>
      <c r="F305" s="1" t="n">
        <f aca="false">SUMIFS(Raw_Data!$H$2:$H$1461,Raw_Data!$A$2:$A$1461,A305)</f>
        <v>186</v>
      </c>
      <c r="G305" s="1" t="n">
        <f aca="false">SUMIFS(Raw_Data!$I$2:$I$1461,Raw_Data!$A$2:$A$1461,A305)</f>
        <v>20582.95</v>
      </c>
      <c r="H305" s="1" t="n">
        <v>300</v>
      </c>
      <c r="I305" s="7" t="n">
        <f aca="false">F305/H305</f>
        <v>0.62</v>
      </c>
      <c r="J305" s="8" t="n">
        <f aca="false">IFERROR(G305/F305,0)</f>
        <v>110.661021505376</v>
      </c>
      <c r="K305" s="8" t="n">
        <f aca="false">G305/H305</f>
        <v>68.6098333333333</v>
      </c>
    </row>
    <row r="306" customFormat="false" ht="15" hidden="false" customHeight="true" outlineLevel="0" collapsed="false">
      <c r="A306" s="1" t="s">
        <v>368</v>
      </c>
      <c r="B306" s="1" t="s">
        <v>55</v>
      </c>
      <c r="C306" s="1" t="s">
        <v>369</v>
      </c>
      <c r="D306" s="1" t="n">
        <v>11</v>
      </c>
      <c r="E306" s="1" t="n">
        <v>44</v>
      </c>
      <c r="F306" s="1" t="n">
        <f aca="false">SUMIFS(Raw_Data!$H$2:$H$1461,Raw_Data!$A$2:$A$1461,A306)</f>
        <v>132</v>
      </c>
      <c r="G306" s="1" t="n">
        <f aca="false">SUMIFS(Raw_Data!$I$2:$I$1461,Raw_Data!$A$2:$A$1461,A306)</f>
        <v>13076.54</v>
      </c>
      <c r="H306" s="1" t="n">
        <v>300</v>
      </c>
      <c r="I306" s="7" t="n">
        <f aca="false">F306/H306</f>
        <v>0.44</v>
      </c>
      <c r="J306" s="8" t="n">
        <f aca="false">IFERROR(G306/F306,0)</f>
        <v>99.064696969697</v>
      </c>
      <c r="K306" s="8" t="n">
        <f aca="false">G306/H306</f>
        <v>43.5884666666667</v>
      </c>
    </row>
    <row r="307" customFormat="false" ht="15" hidden="false" customHeight="true" outlineLevel="0" collapsed="false">
      <c r="A307" s="1" t="s">
        <v>370</v>
      </c>
      <c r="B307" s="1" t="s">
        <v>57</v>
      </c>
      <c r="C307" s="1" t="s">
        <v>369</v>
      </c>
      <c r="D307" s="1" t="n">
        <v>11</v>
      </c>
      <c r="E307" s="1" t="n">
        <v>44</v>
      </c>
      <c r="F307" s="1" t="n">
        <f aca="false">SUMIFS(Raw_Data!$H$2:$H$1461,Raw_Data!$A$2:$A$1461,A307)</f>
        <v>129</v>
      </c>
      <c r="G307" s="1" t="n">
        <f aca="false">SUMIFS(Raw_Data!$I$2:$I$1461,Raw_Data!$A$2:$A$1461,A307)</f>
        <v>13592.46</v>
      </c>
      <c r="H307" s="1" t="n">
        <v>300</v>
      </c>
      <c r="I307" s="7" t="n">
        <f aca="false">F307/H307</f>
        <v>0.43</v>
      </c>
      <c r="J307" s="8" t="n">
        <f aca="false">IFERROR(G307/F307,0)</f>
        <v>105.367906976744</v>
      </c>
      <c r="K307" s="8" t="n">
        <f aca="false">G307/H307</f>
        <v>45.3082</v>
      </c>
    </row>
    <row r="308" customFormat="false" ht="15" hidden="false" customHeight="true" outlineLevel="0" collapsed="false">
      <c r="A308" s="1" t="s">
        <v>371</v>
      </c>
      <c r="B308" s="1" t="s">
        <v>59</v>
      </c>
      <c r="C308" s="1" t="s">
        <v>369</v>
      </c>
      <c r="D308" s="1" t="n">
        <v>11</v>
      </c>
      <c r="E308" s="1" t="n">
        <v>45</v>
      </c>
      <c r="F308" s="1" t="n">
        <f aca="false">SUMIFS(Raw_Data!$H$2:$H$1461,Raw_Data!$A$2:$A$1461,A308)</f>
        <v>174</v>
      </c>
      <c r="G308" s="1" t="n">
        <f aca="false">SUMIFS(Raw_Data!$I$2:$I$1461,Raw_Data!$A$2:$A$1461,A308)</f>
        <v>18529.55</v>
      </c>
      <c r="H308" s="1" t="n">
        <v>300</v>
      </c>
      <c r="I308" s="7" t="n">
        <f aca="false">F308/H308</f>
        <v>0.58</v>
      </c>
      <c r="J308" s="8" t="n">
        <f aca="false">IFERROR(G308/F308,0)</f>
        <v>106.491666666667</v>
      </c>
      <c r="K308" s="8" t="n">
        <f aca="false">G308/H308</f>
        <v>61.7651666666667</v>
      </c>
    </row>
    <row r="309" customFormat="false" ht="15" hidden="false" customHeight="true" outlineLevel="0" collapsed="false">
      <c r="A309" s="1" t="s">
        <v>372</v>
      </c>
      <c r="B309" s="1" t="s">
        <v>61</v>
      </c>
      <c r="C309" s="1" t="s">
        <v>369</v>
      </c>
      <c r="D309" s="1" t="n">
        <v>11</v>
      </c>
      <c r="E309" s="1" t="n">
        <v>45</v>
      </c>
      <c r="F309" s="1" t="n">
        <f aca="false">SUMIFS(Raw_Data!$H$2:$H$1461,Raw_Data!$A$2:$A$1461,A309)</f>
        <v>180</v>
      </c>
      <c r="G309" s="1" t="n">
        <f aca="false">SUMIFS(Raw_Data!$I$2:$I$1461,Raw_Data!$A$2:$A$1461,A309)</f>
        <v>19738.07</v>
      </c>
      <c r="H309" s="1" t="n">
        <v>300</v>
      </c>
      <c r="I309" s="7" t="n">
        <f aca="false">F309/H309</f>
        <v>0.6</v>
      </c>
      <c r="J309" s="8" t="n">
        <f aca="false">IFERROR(G309/F309,0)</f>
        <v>109.655944444444</v>
      </c>
      <c r="K309" s="8" t="n">
        <f aca="false">G309/H309</f>
        <v>65.7935666666667</v>
      </c>
    </row>
    <row r="310" customFormat="false" ht="15" hidden="false" customHeight="true" outlineLevel="0" collapsed="false">
      <c r="A310" s="1" t="s">
        <v>373</v>
      </c>
      <c r="B310" s="1" t="s">
        <v>41</v>
      </c>
      <c r="C310" s="1" t="s">
        <v>369</v>
      </c>
      <c r="D310" s="1" t="n">
        <v>11</v>
      </c>
      <c r="E310" s="1" t="n">
        <v>45</v>
      </c>
      <c r="F310" s="1" t="n">
        <f aca="false">SUMIFS(Raw_Data!$H$2:$H$1461,Raw_Data!$A$2:$A$1461,A310)</f>
        <v>194</v>
      </c>
      <c r="G310" s="1" t="n">
        <f aca="false">SUMIFS(Raw_Data!$I$2:$I$1461,Raw_Data!$A$2:$A$1461,A310)</f>
        <v>22326.37</v>
      </c>
      <c r="H310" s="1" t="n">
        <v>300</v>
      </c>
      <c r="I310" s="7" t="n">
        <f aca="false">F310/H310</f>
        <v>0.646666666666667</v>
      </c>
      <c r="J310" s="8" t="n">
        <f aca="false">IFERROR(G310/F310,0)</f>
        <v>115.084381443299</v>
      </c>
      <c r="K310" s="8" t="n">
        <f aca="false">G310/H310</f>
        <v>74.4212333333333</v>
      </c>
    </row>
    <row r="311" customFormat="false" ht="15" hidden="false" customHeight="true" outlineLevel="0" collapsed="false">
      <c r="A311" s="1" t="s">
        <v>374</v>
      </c>
      <c r="B311" s="1" t="s">
        <v>51</v>
      </c>
      <c r="C311" s="1" t="s">
        <v>369</v>
      </c>
      <c r="D311" s="1" t="n">
        <v>11</v>
      </c>
      <c r="E311" s="1" t="n">
        <v>45</v>
      </c>
      <c r="F311" s="1" t="n">
        <f aca="false">SUMIFS(Raw_Data!$H$2:$H$1461,Raw_Data!$A$2:$A$1461,A311)</f>
        <v>172</v>
      </c>
      <c r="G311" s="1" t="n">
        <f aca="false">SUMIFS(Raw_Data!$I$2:$I$1461,Raw_Data!$A$2:$A$1461,A311)</f>
        <v>18340.81</v>
      </c>
      <c r="H311" s="1" t="n">
        <v>300</v>
      </c>
      <c r="I311" s="7" t="n">
        <f aca="false">F311/H311</f>
        <v>0.573333333333333</v>
      </c>
      <c r="J311" s="8" t="n">
        <f aca="false">IFERROR(G311/F311,0)</f>
        <v>106.63261627907</v>
      </c>
      <c r="K311" s="8" t="n">
        <f aca="false">G311/H311</f>
        <v>61.1360333333333</v>
      </c>
    </row>
    <row r="312" customFormat="false" ht="15" hidden="false" customHeight="true" outlineLevel="0" collapsed="false">
      <c r="A312" s="1" t="s">
        <v>375</v>
      </c>
      <c r="B312" s="1" t="s">
        <v>53</v>
      </c>
      <c r="C312" s="1" t="s">
        <v>369</v>
      </c>
      <c r="D312" s="1" t="n">
        <v>11</v>
      </c>
      <c r="E312" s="1" t="n">
        <v>45</v>
      </c>
      <c r="F312" s="1" t="n">
        <f aca="false">SUMIFS(Raw_Data!$H$2:$H$1461,Raw_Data!$A$2:$A$1461,A312)</f>
        <v>177</v>
      </c>
      <c r="G312" s="1" t="n">
        <f aca="false">SUMIFS(Raw_Data!$I$2:$I$1461,Raw_Data!$A$2:$A$1461,A312)</f>
        <v>20503.88</v>
      </c>
      <c r="H312" s="1" t="n">
        <v>300</v>
      </c>
      <c r="I312" s="7" t="n">
        <f aca="false">F312/H312</f>
        <v>0.59</v>
      </c>
      <c r="J312" s="8" t="n">
        <f aca="false">IFERROR(G312/F312,0)</f>
        <v>115.841129943503</v>
      </c>
      <c r="K312" s="8" t="n">
        <f aca="false">G312/H312</f>
        <v>68.3462666666667</v>
      </c>
    </row>
    <row r="313" customFormat="false" ht="15" hidden="false" customHeight="true" outlineLevel="0" collapsed="false">
      <c r="A313" s="1" t="s">
        <v>376</v>
      </c>
      <c r="B313" s="1" t="s">
        <v>55</v>
      </c>
      <c r="C313" s="1" t="s">
        <v>369</v>
      </c>
      <c r="D313" s="1" t="n">
        <v>11</v>
      </c>
      <c r="E313" s="1" t="n">
        <v>45</v>
      </c>
      <c r="F313" s="1" t="n">
        <f aca="false">SUMIFS(Raw_Data!$H$2:$H$1461,Raw_Data!$A$2:$A$1461,A313)</f>
        <v>127</v>
      </c>
      <c r="G313" s="1" t="n">
        <f aca="false">SUMIFS(Raw_Data!$I$2:$I$1461,Raw_Data!$A$2:$A$1461,A313)</f>
        <v>12783.86</v>
      </c>
      <c r="H313" s="1" t="n">
        <v>300</v>
      </c>
      <c r="I313" s="7" t="n">
        <f aca="false">F313/H313</f>
        <v>0.423333333333333</v>
      </c>
      <c r="J313" s="8" t="n">
        <f aca="false">IFERROR(G313/F313,0)</f>
        <v>100.66031496063</v>
      </c>
      <c r="K313" s="8" t="n">
        <f aca="false">G313/H313</f>
        <v>42.6128666666667</v>
      </c>
    </row>
    <row r="314" customFormat="false" ht="15" hidden="false" customHeight="true" outlineLevel="0" collapsed="false">
      <c r="A314" s="1" t="s">
        <v>377</v>
      </c>
      <c r="B314" s="1" t="s">
        <v>57</v>
      </c>
      <c r="C314" s="1" t="s">
        <v>369</v>
      </c>
      <c r="D314" s="1" t="n">
        <v>11</v>
      </c>
      <c r="E314" s="1" t="n">
        <v>45</v>
      </c>
      <c r="F314" s="1" t="n">
        <f aca="false">SUMIFS(Raw_Data!$H$2:$H$1461,Raw_Data!$A$2:$A$1461,A314)</f>
        <v>136</v>
      </c>
      <c r="G314" s="1" t="n">
        <f aca="false">SUMIFS(Raw_Data!$I$2:$I$1461,Raw_Data!$A$2:$A$1461,A314)</f>
        <v>13940.72</v>
      </c>
      <c r="H314" s="1" t="n">
        <v>300</v>
      </c>
      <c r="I314" s="7" t="n">
        <f aca="false">F314/H314</f>
        <v>0.453333333333333</v>
      </c>
      <c r="J314" s="8" t="n">
        <f aca="false">IFERROR(G314/F314,0)</f>
        <v>102.505294117647</v>
      </c>
      <c r="K314" s="8" t="n">
        <f aca="false">G314/H314</f>
        <v>46.4690666666667</v>
      </c>
    </row>
    <row r="315" customFormat="false" ht="15" hidden="false" customHeight="true" outlineLevel="0" collapsed="false">
      <c r="A315" s="1" t="s">
        <v>378</v>
      </c>
      <c r="B315" s="1" t="s">
        <v>59</v>
      </c>
      <c r="C315" s="1" t="s">
        <v>369</v>
      </c>
      <c r="D315" s="1" t="n">
        <v>11</v>
      </c>
      <c r="E315" s="1" t="n">
        <v>46</v>
      </c>
      <c r="F315" s="1" t="n">
        <f aca="false">SUMIFS(Raw_Data!$H$2:$H$1461,Raw_Data!$A$2:$A$1461,A315)</f>
        <v>176</v>
      </c>
      <c r="G315" s="1" t="n">
        <f aca="false">SUMIFS(Raw_Data!$I$2:$I$1461,Raw_Data!$A$2:$A$1461,A315)</f>
        <v>18715.15</v>
      </c>
      <c r="H315" s="1" t="n">
        <v>300</v>
      </c>
      <c r="I315" s="7" t="n">
        <f aca="false">F315/H315</f>
        <v>0.586666666666667</v>
      </c>
      <c r="J315" s="8" t="n">
        <f aca="false">IFERROR(G315/F315,0)</f>
        <v>106.336079545455</v>
      </c>
      <c r="K315" s="8" t="n">
        <f aca="false">G315/H315</f>
        <v>62.3838333333333</v>
      </c>
    </row>
    <row r="316" customFormat="false" ht="15" hidden="false" customHeight="true" outlineLevel="0" collapsed="false">
      <c r="A316" s="1" t="s">
        <v>379</v>
      </c>
      <c r="B316" s="1" t="s">
        <v>61</v>
      </c>
      <c r="C316" s="1" t="s">
        <v>369</v>
      </c>
      <c r="D316" s="1" t="n">
        <v>11</v>
      </c>
      <c r="E316" s="1" t="n">
        <v>46</v>
      </c>
      <c r="F316" s="1" t="n">
        <f aca="false">SUMIFS(Raw_Data!$H$2:$H$1461,Raw_Data!$A$2:$A$1461,A316)</f>
        <v>187</v>
      </c>
      <c r="G316" s="1" t="n">
        <f aca="false">SUMIFS(Raw_Data!$I$2:$I$1461,Raw_Data!$A$2:$A$1461,A316)</f>
        <v>19830.26</v>
      </c>
      <c r="H316" s="1" t="n">
        <v>300</v>
      </c>
      <c r="I316" s="7" t="n">
        <f aca="false">F316/H316</f>
        <v>0.623333333333333</v>
      </c>
      <c r="J316" s="8" t="n">
        <f aca="false">IFERROR(G316/F316,0)</f>
        <v>106.044171122995</v>
      </c>
      <c r="K316" s="8" t="n">
        <f aca="false">G316/H316</f>
        <v>66.1008666666667</v>
      </c>
    </row>
    <row r="317" customFormat="false" ht="15" hidden="false" customHeight="true" outlineLevel="0" collapsed="false">
      <c r="A317" s="1" t="s">
        <v>380</v>
      </c>
      <c r="B317" s="1" t="s">
        <v>41</v>
      </c>
      <c r="C317" s="1" t="s">
        <v>369</v>
      </c>
      <c r="D317" s="1" t="n">
        <v>11</v>
      </c>
      <c r="E317" s="1" t="n">
        <v>46</v>
      </c>
      <c r="F317" s="1" t="n">
        <f aca="false">SUMIFS(Raw_Data!$H$2:$H$1461,Raw_Data!$A$2:$A$1461,A317)</f>
        <v>188</v>
      </c>
      <c r="G317" s="1" t="n">
        <f aca="false">SUMIFS(Raw_Data!$I$2:$I$1461,Raw_Data!$A$2:$A$1461,A317)</f>
        <v>22834.77</v>
      </c>
      <c r="H317" s="1" t="n">
        <v>300</v>
      </c>
      <c r="I317" s="7" t="n">
        <f aca="false">F317/H317</f>
        <v>0.626666666666667</v>
      </c>
      <c r="J317" s="8" t="n">
        <f aca="false">IFERROR(G317/F317,0)</f>
        <v>121.461542553191</v>
      </c>
      <c r="K317" s="8" t="n">
        <f aca="false">G317/H317</f>
        <v>76.1159</v>
      </c>
    </row>
    <row r="318" customFormat="false" ht="15" hidden="false" customHeight="true" outlineLevel="0" collapsed="false">
      <c r="A318" s="1" t="s">
        <v>381</v>
      </c>
      <c r="B318" s="1" t="s">
        <v>51</v>
      </c>
      <c r="C318" s="1" t="s">
        <v>369</v>
      </c>
      <c r="D318" s="1" t="n">
        <v>11</v>
      </c>
      <c r="E318" s="1" t="n">
        <v>46</v>
      </c>
      <c r="F318" s="1" t="n">
        <f aca="false">SUMIFS(Raw_Data!$H$2:$H$1461,Raw_Data!$A$2:$A$1461,A318)</f>
        <v>201</v>
      </c>
      <c r="G318" s="1" t="n">
        <f aca="false">SUMIFS(Raw_Data!$I$2:$I$1461,Raw_Data!$A$2:$A$1461,A318)</f>
        <v>20878.75</v>
      </c>
      <c r="H318" s="1" t="n">
        <v>300</v>
      </c>
      <c r="I318" s="7" t="n">
        <f aca="false">F318/H318</f>
        <v>0.67</v>
      </c>
      <c r="J318" s="8" t="n">
        <f aca="false">IFERROR(G318/F318,0)</f>
        <v>103.874378109453</v>
      </c>
      <c r="K318" s="8" t="n">
        <f aca="false">G318/H318</f>
        <v>69.5958333333333</v>
      </c>
    </row>
    <row r="319" customFormat="false" ht="15" hidden="false" customHeight="true" outlineLevel="0" collapsed="false">
      <c r="A319" s="1" t="s">
        <v>382</v>
      </c>
      <c r="B319" s="1" t="s">
        <v>53</v>
      </c>
      <c r="C319" s="1" t="s">
        <v>369</v>
      </c>
      <c r="D319" s="1" t="n">
        <v>11</v>
      </c>
      <c r="E319" s="1" t="n">
        <v>46</v>
      </c>
      <c r="F319" s="1" t="n">
        <f aca="false">SUMIFS(Raw_Data!$H$2:$H$1461,Raw_Data!$A$2:$A$1461,A319)</f>
        <v>187</v>
      </c>
      <c r="G319" s="1" t="n">
        <f aca="false">SUMIFS(Raw_Data!$I$2:$I$1461,Raw_Data!$A$2:$A$1461,A319)</f>
        <v>21052.3</v>
      </c>
      <c r="H319" s="1" t="n">
        <v>300</v>
      </c>
      <c r="I319" s="7" t="n">
        <f aca="false">F319/H319</f>
        <v>0.623333333333333</v>
      </c>
      <c r="J319" s="8" t="n">
        <f aca="false">IFERROR(G319/F319,0)</f>
        <v>112.579144385027</v>
      </c>
      <c r="K319" s="8" t="n">
        <f aca="false">G319/H319</f>
        <v>70.1743333333333</v>
      </c>
    </row>
    <row r="320" customFormat="false" ht="15" hidden="false" customHeight="true" outlineLevel="0" collapsed="false">
      <c r="A320" s="1" t="s">
        <v>383</v>
      </c>
      <c r="B320" s="1" t="s">
        <v>55</v>
      </c>
      <c r="C320" s="1" t="s">
        <v>369</v>
      </c>
      <c r="D320" s="1" t="n">
        <v>11</v>
      </c>
      <c r="E320" s="1" t="n">
        <v>46</v>
      </c>
      <c r="F320" s="1" t="n">
        <f aca="false">SUMIFS(Raw_Data!$H$2:$H$1461,Raw_Data!$A$2:$A$1461,A320)</f>
        <v>125</v>
      </c>
      <c r="G320" s="1" t="n">
        <f aca="false">SUMIFS(Raw_Data!$I$2:$I$1461,Raw_Data!$A$2:$A$1461,A320)</f>
        <v>12613.47</v>
      </c>
      <c r="H320" s="1" t="n">
        <v>300</v>
      </c>
      <c r="I320" s="7" t="n">
        <f aca="false">F320/H320</f>
        <v>0.416666666666667</v>
      </c>
      <c r="J320" s="8" t="n">
        <f aca="false">IFERROR(G320/F320,0)</f>
        <v>100.90776</v>
      </c>
      <c r="K320" s="8" t="n">
        <f aca="false">G320/H320</f>
        <v>42.0449</v>
      </c>
    </row>
    <row r="321" customFormat="false" ht="15" hidden="false" customHeight="true" outlineLevel="0" collapsed="false">
      <c r="A321" s="1" t="s">
        <v>384</v>
      </c>
      <c r="B321" s="1" t="s">
        <v>57</v>
      </c>
      <c r="C321" s="1" t="s">
        <v>369</v>
      </c>
      <c r="D321" s="1" t="n">
        <v>11</v>
      </c>
      <c r="E321" s="1" t="n">
        <v>46</v>
      </c>
      <c r="F321" s="1" t="n">
        <f aca="false">SUMIFS(Raw_Data!$H$2:$H$1461,Raw_Data!$A$2:$A$1461,A321)</f>
        <v>128</v>
      </c>
      <c r="G321" s="1" t="n">
        <f aca="false">SUMIFS(Raw_Data!$I$2:$I$1461,Raw_Data!$A$2:$A$1461,A321)</f>
        <v>13546.04</v>
      </c>
      <c r="H321" s="1" t="n">
        <v>300</v>
      </c>
      <c r="I321" s="7" t="n">
        <f aca="false">F321/H321</f>
        <v>0.426666666666667</v>
      </c>
      <c r="J321" s="8" t="n">
        <f aca="false">IFERROR(G321/F321,0)</f>
        <v>105.8284375</v>
      </c>
      <c r="K321" s="8" t="n">
        <f aca="false">G321/H321</f>
        <v>45.1534666666667</v>
      </c>
    </row>
    <row r="322" customFormat="false" ht="15" hidden="false" customHeight="true" outlineLevel="0" collapsed="false">
      <c r="A322" s="1" t="s">
        <v>385</v>
      </c>
      <c r="B322" s="1" t="s">
        <v>59</v>
      </c>
      <c r="C322" s="1" t="s">
        <v>369</v>
      </c>
      <c r="D322" s="1" t="n">
        <v>11</v>
      </c>
      <c r="E322" s="1" t="n">
        <v>47</v>
      </c>
      <c r="F322" s="1" t="n">
        <f aca="false">SUMIFS(Raw_Data!$H$2:$H$1461,Raw_Data!$A$2:$A$1461,A322)</f>
        <v>166</v>
      </c>
      <c r="G322" s="1" t="n">
        <f aca="false">SUMIFS(Raw_Data!$I$2:$I$1461,Raw_Data!$A$2:$A$1461,A322)</f>
        <v>18275.78</v>
      </c>
      <c r="H322" s="1" t="n">
        <v>300</v>
      </c>
      <c r="I322" s="7" t="n">
        <f aca="false">F322/H322</f>
        <v>0.553333333333333</v>
      </c>
      <c r="J322" s="8" t="n">
        <f aca="false">IFERROR(G322/F322,0)</f>
        <v>110.095060240964</v>
      </c>
      <c r="K322" s="8" t="n">
        <f aca="false">G322/H322</f>
        <v>60.9192666666667</v>
      </c>
    </row>
    <row r="323" customFormat="false" ht="15" hidden="false" customHeight="true" outlineLevel="0" collapsed="false">
      <c r="A323" s="1" t="s">
        <v>386</v>
      </c>
      <c r="B323" s="1" t="s">
        <v>61</v>
      </c>
      <c r="C323" s="1" t="s">
        <v>369</v>
      </c>
      <c r="D323" s="1" t="n">
        <v>11</v>
      </c>
      <c r="E323" s="1" t="n">
        <v>47</v>
      </c>
      <c r="F323" s="1" t="n">
        <f aca="false">SUMIFS(Raw_Data!$H$2:$H$1461,Raw_Data!$A$2:$A$1461,A323)</f>
        <v>196</v>
      </c>
      <c r="G323" s="1" t="n">
        <f aca="false">SUMIFS(Raw_Data!$I$2:$I$1461,Raw_Data!$A$2:$A$1461,A323)</f>
        <v>20758.7</v>
      </c>
      <c r="H323" s="1" t="n">
        <v>300</v>
      </c>
      <c r="I323" s="7" t="n">
        <f aca="false">F323/H323</f>
        <v>0.653333333333333</v>
      </c>
      <c r="J323" s="8" t="n">
        <f aca="false">IFERROR(G323/F323,0)</f>
        <v>105.911734693878</v>
      </c>
      <c r="K323" s="8" t="n">
        <f aca="false">G323/H323</f>
        <v>69.1956666666667</v>
      </c>
    </row>
    <row r="324" customFormat="false" ht="15" hidden="false" customHeight="true" outlineLevel="0" collapsed="false">
      <c r="A324" s="1" t="s">
        <v>387</v>
      </c>
      <c r="B324" s="1" t="s">
        <v>41</v>
      </c>
      <c r="C324" s="1" t="s">
        <v>369</v>
      </c>
      <c r="D324" s="1" t="n">
        <v>11</v>
      </c>
      <c r="E324" s="1" t="n">
        <v>47</v>
      </c>
      <c r="F324" s="1" t="n">
        <f aca="false">SUMIFS(Raw_Data!$H$2:$H$1461,Raw_Data!$A$2:$A$1461,A324)</f>
        <v>196</v>
      </c>
      <c r="G324" s="1" t="n">
        <f aca="false">SUMIFS(Raw_Data!$I$2:$I$1461,Raw_Data!$A$2:$A$1461,A324)</f>
        <v>22902.28</v>
      </c>
      <c r="H324" s="1" t="n">
        <v>300</v>
      </c>
      <c r="I324" s="7" t="n">
        <f aca="false">F324/H324</f>
        <v>0.653333333333333</v>
      </c>
      <c r="J324" s="8" t="n">
        <f aca="false">IFERROR(G324/F324,0)</f>
        <v>116.848367346939</v>
      </c>
      <c r="K324" s="8" t="n">
        <f aca="false">G324/H324</f>
        <v>76.3409333333333</v>
      </c>
    </row>
    <row r="325" customFormat="false" ht="15" hidden="false" customHeight="true" outlineLevel="0" collapsed="false">
      <c r="A325" s="1" t="s">
        <v>388</v>
      </c>
      <c r="B325" s="1" t="s">
        <v>51</v>
      </c>
      <c r="C325" s="1" t="s">
        <v>369</v>
      </c>
      <c r="D325" s="1" t="n">
        <v>11</v>
      </c>
      <c r="E325" s="1" t="n">
        <v>47</v>
      </c>
      <c r="F325" s="1" t="n">
        <f aca="false">SUMIFS(Raw_Data!$H$2:$H$1461,Raw_Data!$A$2:$A$1461,A325)</f>
        <v>191</v>
      </c>
      <c r="G325" s="1" t="n">
        <f aca="false">SUMIFS(Raw_Data!$I$2:$I$1461,Raw_Data!$A$2:$A$1461,A325)</f>
        <v>20351.28</v>
      </c>
      <c r="H325" s="1" t="n">
        <v>300</v>
      </c>
      <c r="I325" s="7" t="n">
        <f aca="false">F325/H325</f>
        <v>0.636666666666667</v>
      </c>
      <c r="J325" s="8" t="n">
        <f aca="false">IFERROR(G325/F325,0)</f>
        <v>106.551204188482</v>
      </c>
      <c r="K325" s="8" t="n">
        <f aca="false">G325/H325</f>
        <v>67.8376</v>
      </c>
    </row>
    <row r="326" customFormat="false" ht="15" hidden="false" customHeight="true" outlineLevel="0" collapsed="false">
      <c r="A326" s="1" t="s">
        <v>389</v>
      </c>
      <c r="B326" s="1" t="s">
        <v>53</v>
      </c>
      <c r="C326" s="1" t="s">
        <v>369</v>
      </c>
      <c r="D326" s="1" t="n">
        <v>11</v>
      </c>
      <c r="E326" s="1" t="n">
        <v>47</v>
      </c>
      <c r="F326" s="1" t="n">
        <f aca="false">SUMIFS(Raw_Data!$H$2:$H$1461,Raw_Data!$A$2:$A$1461,A326)</f>
        <v>185</v>
      </c>
      <c r="G326" s="1" t="n">
        <f aca="false">SUMIFS(Raw_Data!$I$2:$I$1461,Raw_Data!$A$2:$A$1461,A326)</f>
        <v>19825.92</v>
      </c>
      <c r="H326" s="1" t="n">
        <v>300</v>
      </c>
      <c r="I326" s="7" t="n">
        <f aca="false">F326/H326</f>
        <v>0.616666666666667</v>
      </c>
      <c r="J326" s="8" t="n">
        <f aca="false">IFERROR(G326/F326,0)</f>
        <v>107.167135135135</v>
      </c>
      <c r="K326" s="8" t="n">
        <f aca="false">G326/H326</f>
        <v>66.0864</v>
      </c>
    </row>
    <row r="327" customFormat="false" ht="15" hidden="false" customHeight="true" outlineLevel="0" collapsed="false">
      <c r="A327" s="1" t="s">
        <v>390</v>
      </c>
      <c r="B327" s="1" t="s">
        <v>55</v>
      </c>
      <c r="C327" s="1" t="s">
        <v>369</v>
      </c>
      <c r="D327" s="1" t="n">
        <v>11</v>
      </c>
      <c r="E327" s="1" t="n">
        <v>47</v>
      </c>
      <c r="F327" s="1" t="n">
        <f aca="false">SUMIFS(Raw_Data!$H$2:$H$1461,Raw_Data!$A$2:$A$1461,A327)</f>
        <v>123</v>
      </c>
      <c r="G327" s="1" t="n">
        <f aca="false">SUMIFS(Raw_Data!$I$2:$I$1461,Raw_Data!$A$2:$A$1461,A327)</f>
        <v>11701.82</v>
      </c>
      <c r="H327" s="1" t="n">
        <v>300</v>
      </c>
      <c r="I327" s="7" t="n">
        <f aca="false">F327/H327</f>
        <v>0.41</v>
      </c>
      <c r="J327" s="8" t="n">
        <f aca="false">IFERROR(G327/F327,0)</f>
        <v>95.1367479674797</v>
      </c>
      <c r="K327" s="8" t="n">
        <f aca="false">G327/H327</f>
        <v>39.0060666666667</v>
      </c>
    </row>
    <row r="328" customFormat="false" ht="15" hidden="false" customHeight="true" outlineLevel="0" collapsed="false">
      <c r="A328" s="1" t="s">
        <v>391</v>
      </c>
      <c r="B328" s="1" t="s">
        <v>57</v>
      </c>
      <c r="C328" s="1" t="s">
        <v>369</v>
      </c>
      <c r="D328" s="1" t="n">
        <v>11</v>
      </c>
      <c r="E328" s="1" t="n">
        <v>47</v>
      </c>
      <c r="F328" s="1" t="n">
        <f aca="false">SUMIFS(Raw_Data!$H$2:$H$1461,Raw_Data!$A$2:$A$1461,A328)</f>
        <v>138</v>
      </c>
      <c r="G328" s="1" t="n">
        <f aca="false">SUMIFS(Raw_Data!$I$2:$I$1461,Raw_Data!$A$2:$A$1461,A328)</f>
        <v>13981.89</v>
      </c>
      <c r="H328" s="1" t="n">
        <v>300</v>
      </c>
      <c r="I328" s="7" t="n">
        <f aca="false">F328/H328</f>
        <v>0.46</v>
      </c>
      <c r="J328" s="8" t="n">
        <f aca="false">IFERROR(G328/F328,0)</f>
        <v>101.318043478261</v>
      </c>
      <c r="K328" s="8" t="n">
        <f aca="false">G328/H328</f>
        <v>46.6063</v>
      </c>
    </row>
    <row r="329" customFormat="false" ht="15" hidden="false" customHeight="true" outlineLevel="0" collapsed="false">
      <c r="A329" s="1" t="s">
        <v>392</v>
      </c>
      <c r="B329" s="1" t="s">
        <v>59</v>
      </c>
      <c r="C329" s="1" t="s">
        <v>369</v>
      </c>
      <c r="D329" s="1" t="n">
        <v>11</v>
      </c>
      <c r="E329" s="1" t="n">
        <v>48</v>
      </c>
      <c r="F329" s="1" t="n">
        <f aca="false">SUMIFS(Raw_Data!$H$2:$H$1461,Raw_Data!$A$2:$A$1461,A329)</f>
        <v>178</v>
      </c>
      <c r="G329" s="1" t="n">
        <f aca="false">SUMIFS(Raw_Data!$I$2:$I$1461,Raw_Data!$A$2:$A$1461,A329)</f>
        <v>20012.84</v>
      </c>
      <c r="H329" s="1" t="n">
        <v>300</v>
      </c>
      <c r="I329" s="7" t="n">
        <f aca="false">F329/H329</f>
        <v>0.593333333333333</v>
      </c>
      <c r="J329" s="8" t="n">
        <f aca="false">IFERROR(G329/F329,0)</f>
        <v>112.431685393258</v>
      </c>
      <c r="K329" s="8" t="n">
        <f aca="false">G329/H329</f>
        <v>66.7094666666667</v>
      </c>
    </row>
    <row r="330" customFormat="false" ht="15" hidden="false" customHeight="true" outlineLevel="0" collapsed="false">
      <c r="A330" s="1" t="s">
        <v>393</v>
      </c>
      <c r="B330" s="1" t="s">
        <v>61</v>
      </c>
      <c r="C330" s="1" t="s">
        <v>369</v>
      </c>
      <c r="D330" s="1" t="n">
        <v>11</v>
      </c>
      <c r="E330" s="1" t="n">
        <v>48</v>
      </c>
      <c r="F330" s="1" t="n">
        <f aca="false">SUMIFS(Raw_Data!$H$2:$H$1461,Raw_Data!$A$2:$A$1461,A330)</f>
        <v>187</v>
      </c>
      <c r="G330" s="1" t="n">
        <f aca="false">SUMIFS(Raw_Data!$I$2:$I$1461,Raw_Data!$A$2:$A$1461,A330)</f>
        <v>19953.77</v>
      </c>
      <c r="H330" s="1" t="n">
        <v>300</v>
      </c>
      <c r="I330" s="7" t="n">
        <f aca="false">F330/H330</f>
        <v>0.623333333333333</v>
      </c>
      <c r="J330" s="8" t="n">
        <f aca="false">IFERROR(G330/F330,0)</f>
        <v>106.704652406417</v>
      </c>
      <c r="K330" s="8" t="n">
        <f aca="false">G330/H330</f>
        <v>66.5125666666667</v>
      </c>
    </row>
    <row r="331" customFormat="false" ht="15" hidden="false" customHeight="true" outlineLevel="0" collapsed="false">
      <c r="A331" s="1" t="s">
        <v>394</v>
      </c>
      <c r="B331" s="1" t="s">
        <v>41</v>
      </c>
      <c r="C331" s="1" t="s">
        <v>369</v>
      </c>
      <c r="D331" s="1" t="n">
        <v>11</v>
      </c>
      <c r="E331" s="1" t="n">
        <v>48</v>
      </c>
      <c r="F331" s="1" t="n">
        <f aca="false">SUMIFS(Raw_Data!$H$2:$H$1461,Raw_Data!$A$2:$A$1461,A331)</f>
        <v>185</v>
      </c>
      <c r="G331" s="1" t="n">
        <f aca="false">SUMIFS(Raw_Data!$I$2:$I$1461,Raw_Data!$A$2:$A$1461,A331)</f>
        <v>20906.87</v>
      </c>
      <c r="H331" s="1" t="n">
        <v>300</v>
      </c>
      <c r="I331" s="7" t="n">
        <f aca="false">F331/H331</f>
        <v>0.616666666666667</v>
      </c>
      <c r="J331" s="8" t="n">
        <f aca="false">IFERROR(G331/F331,0)</f>
        <v>113.010108108108</v>
      </c>
      <c r="K331" s="8" t="n">
        <f aca="false">G331/H331</f>
        <v>69.6895666666667</v>
      </c>
    </row>
    <row r="332" customFormat="false" ht="15" hidden="false" customHeight="true" outlineLevel="0" collapsed="false">
      <c r="A332" s="1" t="s">
        <v>395</v>
      </c>
      <c r="B332" s="1" t="s">
        <v>51</v>
      </c>
      <c r="C332" s="1" t="s">
        <v>369</v>
      </c>
      <c r="D332" s="1" t="n">
        <v>11</v>
      </c>
      <c r="E332" s="1" t="n">
        <v>48</v>
      </c>
      <c r="F332" s="1" t="n">
        <f aca="false">SUMIFS(Raw_Data!$H$2:$H$1461,Raw_Data!$A$2:$A$1461,A332)</f>
        <v>192</v>
      </c>
      <c r="G332" s="1" t="n">
        <f aca="false">SUMIFS(Raw_Data!$I$2:$I$1461,Raw_Data!$A$2:$A$1461,A332)</f>
        <v>20621.73</v>
      </c>
      <c r="H332" s="1" t="n">
        <v>300</v>
      </c>
      <c r="I332" s="7" t="n">
        <f aca="false">F332/H332</f>
        <v>0.64</v>
      </c>
      <c r="J332" s="8" t="n">
        <f aca="false">IFERROR(G332/F332,0)</f>
        <v>107.40484375</v>
      </c>
      <c r="K332" s="8" t="n">
        <f aca="false">G332/H332</f>
        <v>68.7391</v>
      </c>
    </row>
    <row r="333" customFormat="false" ht="15" hidden="false" customHeight="true" outlineLevel="0" collapsed="false">
      <c r="A333" s="1" t="s">
        <v>396</v>
      </c>
      <c r="B333" s="1" t="s">
        <v>53</v>
      </c>
      <c r="C333" s="1" t="s">
        <v>369</v>
      </c>
      <c r="D333" s="1" t="n">
        <v>11</v>
      </c>
      <c r="E333" s="1" t="n">
        <v>48</v>
      </c>
      <c r="F333" s="1" t="n">
        <f aca="false">SUMIFS(Raw_Data!$H$2:$H$1461,Raw_Data!$A$2:$A$1461,A333)</f>
        <v>180</v>
      </c>
      <c r="G333" s="1" t="n">
        <f aca="false">SUMIFS(Raw_Data!$I$2:$I$1461,Raw_Data!$A$2:$A$1461,A333)</f>
        <v>20864.69</v>
      </c>
      <c r="H333" s="1" t="n">
        <v>300</v>
      </c>
      <c r="I333" s="7" t="n">
        <f aca="false">F333/H333</f>
        <v>0.6</v>
      </c>
      <c r="J333" s="8" t="n">
        <f aca="false">IFERROR(G333/F333,0)</f>
        <v>115.914944444444</v>
      </c>
      <c r="K333" s="8" t="n">
        <f aca="false">G333/H333</f>
        <v>69.5489666666667</v>
      </c>
    </row>
    <row r="334" customFormat="false" ht="15" hidden="false" customHeight="true" outlineLevel="0" collapsed="false">
      <c r="A334" s="1" t="s">
        <v>397</v>
      </c>
      <c r="B334" s="1" t="s">
        <v>55</v>
      </c>
      <c r="C334" s="1" t="s">
        <v>369</v>
      </c>
      <c r="D334" s="1" t="n">
        <v>11</v>
      </c>
      <c r="E334" s="1" t="n">
        <v>48</v>
      </c>
      <c r="F334" s="1" t="n">
        <f aca="false">SUMIFS(Raw_Data!$H$2:$H$1461,Raw_Data!$A$2:$A$1461,A334)</f>
        <v>132</v>
      </c>
      <c r="G334" s="1" t="n">
        <f aca="false">SUMIFS(Raw_Data!$I$2:$I$1461,Raw_Data!$A$2:$A$1461,A334)</f>
        <v>13445.4</v>
      </c>
      <c r="H334" s="1" t="n">
        <v>300</v>
      </c>
      <c r="I334" s="7" t="n">
        <f aca="false">F334/H334</f>
        <v>0.44</v>
      </c>
      <c r="J334" s="8" t="n">
        <f aca="false">IFERROR(G334/F334,0)</f>
        <v>101.859090909091</v>
      </c>
      <c r="K334" s="8" t="n">
        <f aca="false">G334/H334</f>
        <v>44.818</v>
      </c>
    </row>
    <row r="335" customFormat="false" ht="15" hidden="false" customHeight="true" outlineLevel="0" collapsed="false">
      <c r="A335" s="1" t="s">
        <v>398</v>
      </c>
      <c r="B335" s="1" t="s">
        <v>57</v>
      </c>
      <c r="C335" s="1" t="s">
        <v>369</v>
      </c>
      <c r="D335" s="1" t="n">
        <v>11</v>
      </c>
      <c r="E335" s="1" t="n">
        <v>48</v>
      </c>
      <c r="F335" s="1" t="n">
        <f aca="false">SUMIFS(Raw_Data!$H$2:$H$1461,Raw_Data!$A$2:$A$1461,A335)</f>
        <v>136</v>
      </c>
      <c r="G335" s="1" t="n">
        <f aca="false">SUMIFS(Raw_Data!$I$2:$I$1461,Raw_Data!$A$2:$A$1461,A335)</f>
        <v>13434.24</v>
      </c>
      <c r="H335" s="1" t="n">
        <v>300</v>
      </c>
      <c r="I335" s="7" t="n">
        <f aca="false">F335/H335</f>
        <v>0.453333333333333</v>
      </c>
      <c r="J335" s="8" t="n">
        <f aca="false">IFERROR(G335/F335,0)</f>
        <v>98.7811764705882</v>
      </c>
      <c r="K335" s="8" t="n">
        <f aca="false">G335/H335</f>
        <v>44.7808</v>
      </c>
    </row>
    <row r="336" customFormat="false" ht="15" hidden="false" customHeight="true" outlineLevel="0" collapsed="false">
      <c r="A336" s="1" t="s">
        <v>399</v>
      </c>
      <c r="B336" s="1" t="s">
        <v>59</v>
      </c>
      <c r="C336" s="1" t="s">
        <v>400</v>
      </c>
      <c r="D336" s="1" t="n">
        <v>12</v>
      </c>
      <c r="E336" s="1" t="n">
        <v>49</v>
      </c>
      <c r="F336" s="1" t="n">
        <f aca="false">SUMIFS(Raw_Data!$H$2:$H$1461,Raw_Data!$A$2:$A$1461,A336)</f>
        <v>154</v>
      </c>
      <c r="G336" s="1" t="n">
        <f aca="false">SUMIFS(Raw_Data!$I$2:$I$1461,Raw_Data!$A$2:$A$1461,A336)</f>
        <v>15232.19</v>
      </c>
      <c r="H336" s="1" t="n">
        <v>300</v>
      </c>
      <c r="I336" s="7" t="n">
        <f aca="false">F336/H336</f>
        <v>0.513333333333333</v>
      </c>
      <c r="J336" s="8" t="n">
        <f aca="false">IFERROR(G336/F336,0)</f>
        <v>98.9103246753247</v>
      </c>
      <c r="K336" s="8" t="n">
        <f aca="false">G336/H336</f>
        <v>50.7739666666667</v>
      </c>
    </row>
    <row r="337" customFormat="false" ht="15" hidden="false" customHeight="true" outlineLevel="0" collapsed="false">
      <c r="A337" s="1" t="s">
        <v>401</v>
      </c>
      <c r="B337" s="1" t="s">
        <v>61</v>
      </c>
      <c r="C337" s="1" t="s">
        <v>400</v>
      </c>
      <c r="D337" s="1" t="n">
        <v>12</v>
      </c>
      <c r="E337" s="1" t="n">
        <v>49</v>
      </c>
      <c r="F337" s="1" t="n">
        <f aca="false">SUMIFS(Raw_Data!$H$2:$H$1461,Raw_Data!$A$2:$A$1461,A337)</f>
        <v>159</v>
      </c>
      <c r="G337" s="1" t="n">
        <f aca="false">SUMIFS(Raw_Data!$I$2:$I$1461,Raw_Data!$A$2:$A$1461,A337)</f>
        <v>16230.44</v>
      </c>
      <c r="H337" s="1" t="n">
        <v>300</v>
      </c>
      <c r="I337" s="7" t="n">
        <f aca="false">F337/H337</f>
        <v>0.53</v>
      </c>
      <c r="J337" s="8" t="n">
        <f aca="false">IFERROR(G337/F337,0)</f>
        <v>102.078238993711</v>
      </c>
      <c r="K337" s="8" t="n">
        <f aca="false">G337/H337</f>
        <v>54.1014666666667</v>
      </c>
    </row>
    <row r="338" customFormat="false" ht="15" hidden="false" customHeight="true" outlineLevel="0" collapsed="false">
      <c r="A338" s="1" t="s">
        <v>402</v>
      </c>
      <c r="B338" s="1" t="s">
        <v>41</v>
      </c>
      <c r="C338" s="1" t="s">
        <v>400</v>
      </c>
      <c r="D338" s="1" t="n">
        <v>12</v>
      </c>
      <c r="E338" s="1" t="n">
        <v>49</v>
      </c>
      <c r="F338" s="1" t="n">
        <f aca="false">SUMIFS(Raw_Data!$H$2:$H$1461,Raw_Data!$A$2:$A$1461,A338)</f>
        <v>157</v>
      </c>
      <c r="G338" s="1" t="n">
        <f aca="false">SUMIFS(Raw_Data!$I$2:$I$1461,Raw_Data!$A$2:$A$1461,A338)</f>
        <v>16858.16</v>
      </c>
      <c r="H338" s="1" t="n">
        <v>300</v>
      </c>
      <c r="I338" s="7" t="n">
        <f aca="false">F338/H338</f>
        <v>0.523333333333333</v>
      </c>
      <c r="J338" s="8" t="n">
        <f aca="false">IFERROR(G338/F338,0)</f>
        <v>107.376815286624</v>
      </c>
      <c r="K338" s="8" t="n">
        <f aca="false">G338/H338</f>
        <v>56.1938666666667</v>
      </c>
    </row>
    <row r="339" customFormat="false" ht="15" hidden="false" customHeight="true" outlineLevel="0" collapsed="false">
      <c r="A339" s="1" t="s">
        <v>403</v>
      </c>
      <c r="B339" s="1" t="s">
        <v>51</v>
      </c>
      <c r="C339" s="1" t="s">
        <v>400</v>
      </c>
      <c r="D339" s="1" t="n">
        <v>12</v>
      </c>
      <c r="E339" s="1" t="n">
        <v>49</v>
      </c>
      <c r="F339" s="1" t="n">
        <f aca="false">SUMIFS(Raw_Data!$H$2:$H$1461,Raw_Data!$A$2:$A$1461,A339)</f>
        <v>167</v>
      </c>
      <c r="G339" s="1" t="n">
        <f aca="false">SUMIFS(Raw_Data!$I$2:$I$1461,Raw_Data!$A$2:$A$1461,A339)</f>
        <v>16957.58</v>
      </c>
      <c r="H339" s="1" t="n">
        <v>300</v>
      </c>
      <c r="I339" s="7" t="n">
        <f aca="false">F339/H339</f>
        <v>0.556666666666667</v>
      </c>
      <c r="J339" s="8" t="n">
        <f aca="false">IFERROR(G339/F339,0)</f>
        <v>101.542395209581</v>
      </c>
      <c r="K339" s="8" t="n">
        <f aca="false">G339/H339</f>
        <v>56.5252666666667</v>
      </c>
    </row>
    <row r="340" customFormat="false" ht="15" hidden="false" customHeight="true" outlineLevel="0" collapsed="false">
      <c r="A340" s="1" t="s">
        <v>404</v>
      </c>
      <c r="B340" s="1" t="s">
        <v>53</v>
      </c>
      <c r="C340" s="1" t="s">
        <v>400</v>
      </c>
      <c r="D340" s="1" t="n">
        <v>12</v>
      </c>
      <c r="E340" s="1" t="n">
        <v>49</v>
      </c>
      <c r="F340" s="1" t="n">
        <f aca="false">SUMIFS(Raw_Data!$H$2:$H$1461,Raw_Data!$A$2:$A$1461,A340)</f>
        <v>151</v>
      </c>
      <c r="G340" s="1" t="n">
        <f aca="false">SUMIFS(Raw_Data!$I$2:$I$1461,Raw_Data!$A$2:$A$1461,A340)</f>
        <v>16731.86</v>
      </c>
      <c r="H340" s="1" t="n">
        <v>300</v>
      </c>
      <c r="I340" s="7" t="n">
        <f aca="false">F340/H340</f>
        <v>0.503333333333333</v>
      </c>
      <c r="J340" s="8" t="n">
        <f aca="false">IFERROR(G340/F340,0)</f>
        <v>110.80701986755</v>
      </c>
      <c r="K340" s="8" t="n">
        <f aca="false">G340/H340</f>
        <v>55.7728666666667</v>
      </c>
    </row>
    <row r="341" customFormat="false" ht="15" hidden="false" customHeight="true" outlineLevel="0" collapsed="false">
      <c r="A341" s="1" t="s">
        <v>405</v>
      </c>
      <c r="B341" s="1" t="s">
        <v>55</v>
      </c>
      <c r="C341" s="1" t="s">
        <v>400</v>
      </c>
      <c r="D341" s="1" t="n">
        <v>12</v>
      </c>
      <c r="E341" s="1" t="n">
        <v>49</v>
      </c>
      <c r="F341" s="1" t="n">
        <f aca="false">SUMIFS(Raw_Data!$H$2:$H$1461,Raw_Data!$A$2:$A$1461,A341)</f>
        <v>113</v>
      </c>
      <c r="G341" s="1" t="n">
        <f aca="false">SUMIFS(Raw_Data!$I$2:$I$1461,Raw_Data!$A$2:$A$1461,A341)</f>
        <v>10265.99</v>
      </c>
      <c r="H341" s="1" t="n">
        <v>300</v>
      </c>
      <c r="I341" s="7" t="n">
        <f aca="false">F341/H341</f>
        <v>0.376666666666667</v>
      </c>
      <c r="J341" s="8" t="n">
        <f aca="false">IFERROR(G341/F341,0)</f>
        <v>90.8494690265487</v>
      </c>
      <c r="K341" s="8" t="n">
        <f aca="false">G341/H341</f>
        <v>34.2199666666667</v>
      </c>
    </row>
    <row r="342" customFormat="false" ht="15" hidden="false" customHeight="true" outlineLevel="0" collapsed="false">
      <c r="A342" s="1" t="s">
        <v>406</v>
      </c>
      <c r="B342" s="1" t="s">
        <v>57</v>
      </c>
      <c r="C342" s="1" t="s">
        <v>400</v>
      </c>
      <c r="D342" s="1" t="n">
        <v>12</v>
      </c>
      <c r="E342" s="1" t="n">
        <v>49</v>
      </c>
      <c r="F342" s="1" t="n">
        <f aca="false">SUMIFS(Raw_Data!$H$2:$H$1461,Raw_Data!$A$2:$A$1461,A342)</f>
        <v>115</v>
      </c>
      <c r="G342" s="1" t="n">
        <f aca="false">SUMIFS(Raw_Data!$I$2:$I$1461,Raw_Data!$A$2:$A$1461,A342)</f>
        <v>11697.57</v>
      </c>
      <c r="H342" s="1" t="n">
        <v>300</v>
      </c>
      <c r="I342" s="7" t="n">
        <f aca="false">F342/H342</f>
        <v>0.383333333333333</v>
      </c>
      <c r="J342" s="8" t="n">
        <f aca="false">IFERROR(G342/F342,0)</f>
        <v>101.718</v>
      </c>
      <c r="K342" s="8" t="n">
        <f aca="false">G342/H342</f>
        <v>38.9919</v>
      </c>
    </row>
    <row r="343" customFormat="false" ht="15" hidden="false" customHeight="true" outlineLevel="0" collapsed="false">
      <c r="A343" s="1" t="s">
        <v>407</v>
      </c>
      <c r="B343" s="1" t="s">
        <v>59</v>
      </c>
      <c r="C343" s="1" t="s">
        <v>400</v>
      </c>
      <c r="D343" s="1" t="n">
        <v>12</v>
      </c>
      <c r="E343" s="1" t="n">
        <v>50</v>
      </c>
      <c r="F343" s="1" t="n">
        <f aca="false">SUMIFS(Raw_Data!$H$2:$H$1461,Raw_Data!$A$2:$A$1461,A343)</f>
        <v>155</v>
      </c>
      <c r="G343" s="1" t="n">
        <f aca="false">SUMIFS(Raw_Data!$I$2:$I$1461,Raw_Data!$A$2:$A$1461,A343)</f>
        <v>15649.48</v>
      </c>
      <c r="H343" s="1" t="n">
        <v>300</v>
      </c>
      <c r="I343" s="7" t="n">
        <f aca="false">F343/H343</f>
        <v>0.516666666666667</v>
      </c>
      <c r="J343" s="8" t="n">
        <f aca="false">IFERROR(G343/F343,0)</f>
        <v>100.964387096774</v>
      </c>
      <c r="K343" s="8" t="n">
        <f aca="false">G343/H343</f>
        <v>52.1649333333333</v>
      </c>
    </row>
    <row r="344" customFormat="false" ht="15" hidden="false" customHeight="true" outlineLevel="0" collapsed="false">
      <c r="A344" s="1" t="s">
        <v>408</v>
      </c>
      <c r="B344" s="1" t="s">
        <v>61</v>
      </c>
      <c r="C344" s="1" t="s">
        <v>400</v>
      </c>
      <c r="D344" s="1" t="n">
        <v>12</v>
      </c>
      <c r="E344" s="1" t="n">
        <v>50</v>
      </c>
      <c r="F344" s="1" t="n">
        <f aca="false">SUMIFS(Raw_Data!$H$2:$H$1461,Raw_Data!$A$2:$A$1461,A344)</f>
        <v>154</v>
      </c>
      <c r="G344" s="1" t="n">
        <f aca="false">SUMIFS(Raw_Data!$I$2:$I$1461,Raw_Data!$A$2:$A$1461,A344)</f>
        <v>16350.49</v>
      </c>
      <c r="H344" s="1" t="n">
        <v>300</v>
      </c>
      <c r="I344" s="7" t="n">
        <f aca="false">F344/H344</f>
        <v>0.513333333333333</v>
      </c>
      <c r="J344" s="8" t="n">
        <f aca="false">IFERROR(G344/F344,0)</f>
        <v>106.172012987013</v>
      </c>
      <c r="K344" s="8" t="n">
        <f aca="false">G344/H344</f>
        <v>54.5016333333333</v>
      </c>
    </row>
    <row r="345" customFormat="false" ht="15" hidden="false" customHeight="true" outlineLevel="0" collapsed="false">
      <c r="A345" s="1" t="s">
        <v>409</v>
      </c>
      <c r="B345" s="1" t="s">
        <v>41</v>
      </c>
      <c r="C345" s="1" t="s">
        <v>400</v>
      </c>
      <c r="D345" s="1" t="n">
        <v>12</v>
      </c>
      <c r="E345" s="1" t="n">
        <v>50</v>
      </c>
      <c r="F345" s="1" t="n">
        <f aca="false">SUMIFS(Raw_Data!$H$2:$H$1461,Raw_Data!$A$2:$A$1461,A345)</f>
        <v>139</v>
      </c>
      <c r="G345" s="1" t="n">
        <f aca="false">SUMIFS(Raw_Data!$I$2:$I$1461,Raw_Data!$A$2:$A$1461,A345)</f>
        <v>14114.53</v>
      </c>
      <c r="H345" s="1" t="n">
        <v>300</v>
      </c>
      <c r="I345" s="7" t="n">
        <f aca="false">F345/H345</f>
        <v>0.463333333333333</v>
      </c>
      <c r="J345" s="8" t="n">
        <f aca="false">IFERROR(G345/F345,0)</f>
        <v>101.543381294964</v>
      </c>
      <c r="K345" s="8" t="n">
        <f aca="false">G345/H345</f>
        <v>47.0484333333333</v>
      </c>
    </row>
    <row r="346" customFormat="false" ht="15" hidden="false" customHeight="true" outlineLevel="0" collapsed="false">
      <c r="A346" s="1" t="s">
        <v>410</v>
      </c>
      <c r="B346" s="1" t="s">
        <v>51</v>
      </c>
      <c r="C346" s="1" t="s">
        <v>400</v>
      </c>
      <c r="D346" s="1" t="n">
        <v>12</v>
      </c>
      <c r="E346" s="1" t="n">
        <v>50</v>
      </c>
      <c r="F346" s="1" t="n">
        <f aca="false">SUMIFS(Raw_Data!$H$2:$H$1461,Raw_Data!$A$2:$A$1461,A346)</f>
        <v>146</v>
      </c>
      <c r="G346" s="1" t="n">
        <f aca="false">SUMIFS(Raw_Data!$I$2:$I$1461,Raw_Data!$A$2:$A$1461,A346)</f>
        <v>14994.59</v>
      </c>
      <c r="H346" s="1" t="n">
        <v>300</v>
      </c>
      <c r="I346" s="7" t="n">
        <f aca="false">F346/H346</f>
        <v>0.486666666666667</v>
      </c>
      <c r="J346" s="8" t="n">
        <f aca="false">IFERROR(G346/F346,0)</f>
        <v>102.702671232877</v>
      </c>
      <c r="K346" s="8" t="n">
        <f aca="false">G346/H346</f>
        <v>49.9819666666667</v>
      </c>
    </row>
    <row r="347" customFormat="false" ht="15" hidden="false" customHeight="true" outlineLevel="0" collapsed="false">
      <c r="A347" s="1" t="s">
        <v>411</v>
      </c>
      <c r="B347" s="1" t="s">
        <v>53</v>
      </c>
      <c r="C347" s="1" t="s">
        <v>400</v>
      </c>
      <c r="D347" s="1" t="n">
        <v>12</v>
      </c>
      <c r="E347" s="1" t="n">
        <v>50</v>
      </c>
      <c r="F347" s="1" t="n">
        <f aca="false">SUMIFS(Raw_Data!$H$2:$H$1461,Raw_Data!$A$2:$A$1461,A347)</f>
        <v>158</v>
      </c>
      <c r="G347" s="1" t="n">
        <f aca="false">SUMIFS(Raw_Data!$I$2:$I$1461,Raw_Data!$A$2:$A$1461,A347)</f>
        <v>16051.79</v>
      </c>
      <c r="H347" s="1" t="n">
        <v>300</v>
      </c>
      <c r="I347" s="7" t="n">
        <f aca="false">F347/H347</f>
        <v>0.526666666666667</v>
      </c>
      <c r="J347" s="8" t="n">
        <f aca="false">IFERROR(G347/F347,0)</f>
        <v>101.593607594937</v>
      </c>
      <c r="K347" s="8" t="n">
        <f aca="false">G347/H347</f>
        <v>53.5059666666667</v>
      </c>
    </row>
    <row r="348" customFormat="false" ht="15" hidden="false" customHeight="true" outlineLevel="0" collapsed="false">
      <c r="A348" s="1" t="s">
        <v>412</v>
      </c>
      <c r="B348" s="1" t="s">
        <v>55</v>
      </c>
      <c r="C348" s="1" t="s">
        <v>400</v>
      </c>
      <c r="D348" s="1" t="n">
        <v>12</v>
      </c>
      <c r="E348" s="1" t="n">
        <v>50</v>
      </c>
      <c r="F348" s="1" t="n">
        <f aca="false">SUMIFS(Raw_Data!$H$2:$H$1461,Raw_Data!$A$2:$A$1461,A348)</f>
        <v>108</v>
      </c>
      <c r="G348" s="1" t="n">
        <f aca="false">SUMIFS(Raw_Data!$I$2:$I$1461,Raw_Data!$A$2:$A$1461,A348)</f>
        <v>10055.58</v>
      </c>
      <c r="H348" s="1" t="n">
        <v>300</v>
      </c>
      <c r="I348" s="7" t="n">
        <f aca="false">F348/H348</f>
        <v>0.36</v>
      </c>
      <c r="J348" s="8" t="n">
        <f aca="false">IFERROR(G348/F348,0)</f>
        <v>93.1072222222222</v>
      </c>
      <c r="K348" s="8" t="n">
        <f aca="false">G348/H348</f>
        <v>33.5186</v>
      </c>
    </row>
    <row r="349" customFormat="false" ht="15" hidden="false" customHeight="true" outlineLevel="0" collapsed="false">
      <c r="A349" s="1" t="s">
        <v>413</v>
      </c>
      <c r="B349" s="1" t="s">
        <v>57</v>
      </c>
      <c r="C349" s="1" t="s">
        <v>400</v>
      </c>
      <c r="D349" s="1" t="n">
        <v>12</v>
      </c>
      <c r="E349" s="1" t="n">
        <v>50</v>
      </c>
      <c r="F349" s="1" t="n">
        <f aca="false">SUMIFS(Raw_Data!$H$2:$H$1461,Raw_Data!$A$2:$A$1461,A349)</f>
        <v>107</v>
      </c>
      <c r="G349" s="1" t="n">
        <f aca="false">SUMIFS(Raw_Data!$I$2:$I$1461,Raw_Data!$A$2:$A$1461,A349)</f>
        <v>10273.27</v>
      </c>
      <c r="H349" s="1" t="n">
        <v>300</v>
      </c>
      <c r="I349" s="7" t="n">
        <f aca="false">F349/H349</f>
        <v>0.356666666666667</v>
      </c>
      <c r="J349" s="8" t="n">
        <f aca="false">IFERROR(G349/F349,0)</f>
        <v>96.0118691588785</v>
      </c>
      <c r="K349" s="8" t="n">
        <f aca="false">G349/H349</f>
        <v>34.2442333333333</v>
      </c>
    </row>
    <row r="350" customFormat="false" ht="15" hidden="false" customHeight="true" outlineLevel="0" collapsed="false">
      <c r="A350" s="1" t="s">
        <v>414</v>
      </c>
      <c r="B350" s="1" t="s">
        <v>59</v>
      </c>
      <c r="C350" s="1" t="s">
        <v>400</v>
      </c>
      <c r="D350" s="1" t="n">
        <v>12</v>
      </c>
      <c r="E350" s="1" t="n">
        <v>51</v>
      </c>
      <c r="F350" s="1" t="n">
        <f aca="false">SUMIFS(Raw_Data!$H$2:$H$1461,Raw_Data!$A$2:$A$1461,A350)</f>
        <v>148</v>
      </c>
      <c r="G350" s="1" t="n">
        <f aca="false">SUMIFS(Raw_Data!$I$2:$I$1461,Raw_Data!$A$2:$A$1461,A350)</f>
        <v>14929.08</v>
      </c>
      <c r="H350" s="1" t="n">
        <v>300</v>
      </c>
      <c r="I350" s="7" t="n">
        <f aca="false">F350/H350</f>
        <v>0.493333333333333</v>
      </c>
      <c r="J350" s="8" t="n">
        <f aca="false">IFERROR(G350/F350,0)</f>
        <v>100.872162162162</v>
      </c>
      <c r="K350" s="8" t="n">
        <f aca="false">G350/H350</f>
        <v>49.7636</v>
      </c>
    </row>
    <row r="351" customFormat="false" ht="15" hidden="false" customHeight="true" outlineLevel="0" collapsed="false">
      <c r="A351" s="1" t="s">
        <v>415</v>
      </c>
      <c r="B351" s="1" t="s">
        <v>61</v>
      </c>
      <c r="C351" s="1" t="s">
        <v>400</v>
      </c>
      <c r="D351" s="1" t="n">
        <v>12</v>
      </c>
      <c r="E351" s="1" t="n">
        <v>51</v>
      </c>
      <c r="F351" s="1" t="n">
        <f aca="false">SUMIFS(Raw_Data!$H$2:$H$1461,Raw_Data!$A$2:$A$1461,A351)</f>
        <v>150</v>
      </c>
      <c r="G351" s="1" t="n">
        <f aca="false">SUMIFS(Raw_Data!$I$2:$I$1461,Raw_Data!$A$2:$A$1461,A351)</f>
        <v>14701.76</v>
      </c>
      <c r="H351" s="1" t="n">
        <v>300</v>
      </c>
      <c r="I351" s="7" t="n">
        <f aca="false">F351/H351</f>
        <v>0.5</v>
      </c>
      <c r="J351" s="8" t="n">
        <f aca="false">IFERROR(G351/F351,0)</f>
        <v>98.0117333333333</v>
      </c>
      <c r="K351" s="8" t="n">
        <f aca="false">G351/H351</f>
        <v>49.0058666666667</v>
      </c>
    </row>
    <row r="352" customFormat="false" ht="15" hidden="false" customHeight="true" outlineLevel="0" collapsed="false">
      <c r="A352" s="1" t="s">
        <v>416</v>
      </c>
      <c r="B352" s="1" t="s">
        <v>41</v>
      </c>
      <c r="C352" s="1" t="s">
        <v>400</v>
      </c>
      <c r="D352" s="1" t="n">
        <v>12</v>
      </c>
      <c r="E352" s="1" t="n">
        <v>51</v>
      </c>
      <c r="F352" s="1" t="n">
        <f aca="false">SUMIFS(Raw_Data!$H$2:$H$1461,Raw_Data!$A$2:$A$1461,A352)</f>
        <v>153</v>
      </c>
      <c r="G352" s="1" t="n">
        <f aca="false">SUMIFS(Raw_Data!$I$2:$I$1461,Raw_Data!$A$2:$A$1461,A352)</f>
        <v>17002.01</v>
      </c>
      <c r="H352" s="1" t="n">
        <v>300</v>
      </c>
      <c r="I352" s="7" t="n">
        <f aca="false">F352/H352</f>
        <v>0.51</v>
      </c>
      <c r="J352" s="8" t="n">
        <f aca="false">IFERROR(G352/F352,0)</f>
        <v>111.124248366013</v>
      </c>
      <c r="K352" s="8" t="n">
        <f aca="false">G352/H352</f>
        <v>56.6733666666667</v>
      </c>
    </row>
    <row r="353" customFormat="false" ht="15" hidden="false" customHeight="true" outlineLevel="0" collapsed="false">
      <c r="A353" s="1" t="s">
        <v>417</v>
      </c>
      <c r="B353" s="1" t="s">
        <v>51</v>
      </c>
      <c r="C353" s="1" t="s">
        <v>400</v>
      </c>
      <c r="D353" s="1" t="n">
        <v>12</v>
      </c>
      <c r="E353" s="1" t="n">
        <v>51</v>
      </c>
      <c r="F353" s="1" t="n">
        <f aca="false">SUMIFS(Raw_Data!$H$2:$H$1461,Raw_Data!$A$2:$A$1461,A353)</f>
        <v>166</v>
      </c>
      <c r="G353" s="1" t="n">
        <f aca="false">SUMIFS(Raw_Data!$I$2:$I$1461,Raw_Data!$A$2:$A$1461,A353)</f>
        <v>16842.51</v>
      </c>
      <c r="H353" s="1" t="n">
        <v>300</v>
      </c>
      <c r="I353" s="7" t="n">
        <f aca="false">F353/H353</f>
        <v>0.553333333333333</v>
      </c>
      <c r="J353" s="8" t="n">
        <f aca="false">IFERROR(G353/F353,0)</f>
        <v>101.460903614458</v>
      </c>
      <c r="K353" s="8" t="n">
        <f aca="false">G353/H353</f>
        <v>56.1417</v>
      </c>
    </row>
    <row r="354" customFormat="false" ht="15" hidden="false" customHeight="true" outlineLevel="0" collapsed="false">
      <c r="A354" s="1" t="s">
        <v>418</v>
      </c>
      <c r="B354" s="1" t="s">
        <v>53</v>
      </c>
      <c r="C354" s="1" t="s">
        <v>400</v>
      </c>
      <c r="D354" s="1" t="n">
        <v>12</v>
      </c>
      <c r="E354" s="1" t="n">
        <v>51</v>
      </c>
      <c r="F354" s="1" t="n">
        <f aca="false">SUMIFS(Raw_Data!$H$2:$H$1461,Raw_Data!$A$2:$A$1461,A354)</f>
        <v>155</v>
      </c>
      <c r="G354" s="1" t="n">
        <f aca="false">SUMIFS(Raw_Data!$I$2:$I$1461,Raw_Data!$A$2:$A$1461,A354)</f>
        <v>16060.13</v>
      </c>
      <c r="H354" s="1" t="n">
        <v>300</v>
      </c>
      <c r="I354" s="7" t="n">
        <f aca="false">F354/H354</f>
        <v>0.516666666666667</v>
      </c>
      <c r="J354" s="8" t="n">
        <f aca="false">IFERROR(G354/F354,0)</f>
        <v>103.613741935484</v>
      </c>
      <c r="K354" s="8" t="n">
        <f aca="false">G354/H354</f>
        <v>53.5337666666667</v>
      </c>
    </row>
    <row r="355" customFormat="false" ht="15" hidden="false" customHeight="true" outlineLevel="0" collapsed="false">
      <c r="A355" s="1" t="s">
        <v>419</v>
      </c>
      <c r="B355" s="1" t="s">
        <v>55</v>
      </c>
      <c r="C355" s="1" t="s">
        <v>400</v>
      </c>
      <c r="D355" s="1" t="n">
        <v>12</v>
      </c>
      <c r="E355" s="1" t="n">
        <v>51</v>
      </c>
      <c r="F355" s="1" t="n">
        <f aca="false">SUMIFS(Raw_Data!$H$2:$H$1461,Raw_Data!$A$2:$A$1461,A355)</f>
        <v>112</v>
      </c>
      <c r="G355" s="1" t="n">
        <f aca="false">SUMIFS(Raw_Data!$I$2:$I$1461,Raw_Data!$A$2:$A$1461,A355)</f>
        <v>10917.3</v>
      </c>
      <c r="H355" s="1" t="n">
        <v>300</v>
      </c>
      <c r="I355" s="7" t="n">
        <f aca="false">F355/H355</f>
        <v>0.373333333333333</v>
      </c>
      <c r="J355" s="8" t="n">
        <f aca="false">IFERROR(G355/F355,0)</f>
        <v>97.4758928571429</v>
      </c>
      <c r="K355" s="8" t="n">
        <f aca="false">G355/H355</f>
        <v>36.391</v>
      </c>
    </row>
    <row r="356" customFormat="false" ht="15" hidden="false" customHeight="true" outlineLevel="0" collapsed="false">
      <c r="A356" s="1" t="s">
        <v>420</v>
      </c>
      <c r="B356" s="1" t="s">
        <v>57</v>
      </c>
      <c r="C356" s="1" t="s">
        <v>400</v>
      </c>
      <c r="D356" s="1" t="n">
        <v>12</v>
      </c>
      <c r="E356" s="1" t="n">
        <v>51</v>
      </c>
      <c r="F356" s="1" t="n">
        <f aca="false">SUMIFS(Raw_Data!$H$2:$H$1461,Raw_Data!$A$2:$A$1461,A356)</f>
        <v>120</v>
      </c>
      <c r="G356" s="1" t="n">
        <f aca="false">SUMIFS(Raw_Data!$I$2:$I$1461,Raw_Data!$A$2:$A$1461,A356)</f>
        <v>11544.25</v>
      </c>
      <c r="H356" s="1" t="n">
        <v>300</v>
      </c>
      <c r="I356" s="7" t="n">
        <f aca="false">F356/H356</f>
        <v>0.4</v>
      </c>
      <c r="J356" s="8" t="n">
        <f aca="false">IFERROR(G356/F356,0)</f>
        <v>96.2020833333333</v>
      </c>
      <c r="K356" s="8" t="n">
        <f aca="false">G356/H356</f>
        <v>38.4808333333333</v>
      </c>
    </row>
    <row r="357" customFormat="false" ht="15" hidden="false" customHeight="true" outlineLevel="0" collapsed="false">
      <c r="A357" s="1" t="s">
        <v>421</v>
      </c>
      <c r="B357" s="1" t="s">
        <v>59</v>
      </c>
      <c r="C357" s="1" t="s">
        <v>400</v>
      </c>
      <c r="D357" s="1" t="n">
        <v>12</v>
      </c>
      <c r="E357" s="1" t="n">
        <v>52</v>
      </c>
      <c r="F357" s="1" t="n">
        <f aca="false">SUMIFS(Raw_Data!$H$2:$H$1461,Raw_Data!$A$2:$A$1461,A357)</f>
        <v>156</v>
      </c>
      <c r="G357" s="1" t="n">
        <f aca="false">SUMIFS(Raw_Data!$I$2:$I$1461,Raw_Data!$A$2:$A$1461,A357)</f>
        <v>14930.68</v>
      </c>
      <c r="H357" s="1" t="n">
        <v>300</v>
      </c>
      <c r="I357" s="7" t="n">
        <f aca="false">F357/H357</f>
        <v>0.52</v>
      </c>
      <c r="J357" s="8" t="n">
        <f aca="false">IFERROR(G357/F357,0)</f>
        <v>95.7094871794872</v>
      </c>
      <c r="K357" s="8" t="n">
        <f aca="false">G357/H357</f>
        <v>49.7689333333333</v>
      </c>
    </row>
    <row r="358" customFormat="false" ht="15" hidden="false" customHeight="true" outlineLevel="0" collapsed="false">
      <c r="A358" s="1" t="s">
        <v>422</v>
      </c>
      <c r="B358" s="1" t="s">
        <v>61</v>
      </c>
      <c r="C358" s="1" t="s">
        <v>400</v>
      </c>
      <c r="D358" s="1" t="n">
        <v>12</v>
      </c>
      <c r="E358" s="1" t="n">
        <v>52</v>
      </c>
      <c r="F358" s="1" t="n">
        <f aca="false">SUMIFS(Raw_Data!$H$2:$H$1461,Raw_Data!$A$2:$A$1461,A358)</f>
        <v>147</v>
      </c>
      <c r="G358" s="1" t="n">
        <f aca="false">SUMIFS(Raw_Data!$I$2:$I$1461,Raw_Data!$A$2:$A$1461,A358)</f>
        <v>14934.55</v>
      </c>
      <c r="H358" s="1" t="n">
        <v>300</v>
      </c>
      <c r="I358" s="7" t="n">
        <f aca="false">F358/H358</f>
        <v>0.49</v>
      </c>
      <c r="J358" s="8" t="n">
        <f aca="false">IFERROR(G358/F358,0)</f>
        <v>101.595578231293</v>
      </c>
      <c r="K358" s="8" t="n">
        <f aca="false">G358/H358</f>
        <v>49.7818333333333</v>
      </c>
    </row>
    <row r="359" customFormat="false" ht="15" hidden="false" customHeight="true" outlineLevel="0" collapsed="false">
      <c r="A359" s="1" t="s">
        <v>423</v>
      </c>
      <c r="B359" s="1" t="s">
        <v>41</v>
      </c>
      <c r="C359" s="1" t="s">
        <v>400</v>
      </c>
      <c r="D359" s="1" t="n">
        <v>12</v>
      </c>
      <c r="E359" s="1" t="n">
        <v>52</v>
      </c>
      <c r="F359" s="1" t="n">
        <f aca="false">SUMIFS(Raw_Data!$H$2:$H$1461,Raw_Data!$A$2:$A$1461,A359)</f>
        <v>144</v>
      </c>
      <c r="G359" s="1" t="n">
        <f aca="false">SUMIFS(Raw_Data!$I$2:$I$1461,Raw_Data!$A$2:$A$1461,A359)</f>
        <v>14985.18</v>
      </c>
      <c r="H359" s="1" t="n">
        <v>300</v>
      </c>
      <c r="I359" s="7" t="n">
        <f aca="false">F359/H359</f>
        <v>0.48</v>
      </c>
      <c r="J359" s="8" t="n">
        <f aca="false">IFERROR(G359/F359,0)</f>
        <v>104.06375</v>
      </c>
      <c r="K359" s="8" t="n">
        <f aca="false">G359/H359</f>
        <v>49.9506</v>
      </c>
    </row>
    <row r="360" customFormat="false" ht="15" hidden="false" customHeight="true" outlineLevel="0" collapsed="false">
      <c r="A360" s="1" t="s">
        <v>424</v>
      </c>
      <c r="B360" s="1" t="s">
        <v>51</v>
      </c>
      <c r="C360" s="1" t="s">
        <v>400</v>
      </c>
      <c r="D360" s="1" t="n">
        <v>12</v>
      </c>
      <c r="E360" s="1" t="n">
        <v>52</v>
      </c>
      <c r="F360" s="1" t="n">
        <f aca="false">SUMIFS(Raw_Data!$H$2:$H$1461,Raw_Data!$A$2:$A$1461,A360)</f>
        <v>154</v>
      </c>
      <c r="G360" s="1" t="n">
        <f aca="false">SUMIFS(Raw_Data!$I$2:$I$1461,Raw_Data!$A$2:$A$1461,A360)</f>
        <v>15992.63</v>
      </c>
      <c r="H360" s="1" t="n">
        <v>300</v>
      </c>
      <c r="I360" s="7" t="n">
        <f aca="false">F360/H360</f>
        <v>0.513333333333333</v>
      </c>
      <c r="J360" s="8" t="n">
        <f aca="false">IFERROR(G360/F360,0)</f>
        <v>103.848246753247</v>
      </c>
      <c r="K360" s="8" t="n">
        <f aca="false">G360/H360</f>
        <v>53.3087666666667</v>
      </c>
    </row>
    <row r="361" customFormat="false" ht="15" hidden="false" customHeight="true" outlineLevel="0" collapsed="false">
      <c r="A361" s="1" t="s">
        <v>425</v>
      </c>
      <c r="B361" s="1" t="s">
        <v>53</v>
      </c>
      <c r="C361" s="1" t="s">
        <v>400</v>
      </c>
      <c r="D361" s="1" t="n">
        <v>12</v>
      </c>
      <c r="E361" s="1" t="n">
        <v>52</v>
      </c>
      <c r="F361" s="1" t="n">
        <f aca="false">SUMIFS(Raw_Data!$H$2:$H$1461,Raw_Data!$A$2:$A$1461,A361)</f>
        <v>136</v>
      </c>
      <c r="G361" s="1" t="n">
        <f aca="false">SUMIFS(Raw_Data!$I$2:$I$1461,Raw_Data!$A$2:$A$1461,A361)</f>
        <v>13481.1</v>
      </c>
      <c r="H361" s="1" t="n">
        <v>300</v>
      </c>
      <c r="I361" s="7" t="n">
        <f aca="false">F361/H361</f>
        <v>0.453333333333333</v>
      </c>
      <c r="J361" s="8" t="n">
        <f aca="false">IFERROR(G361/F361,0)</f>
        <v>99.1257352941177</v>
      </c>
      <c r="K361" s="8" t="n">
        <f aca="false">G361/H361</f>
        <v>44.937</v>
      </c>
    </row>
    <row r="362" customFormat="false" ht="15" hidden="false" customHeight="true" outlineLevel="0" collapsed="false">
      <c r="A362" s="1" t="s">
        <v>426</v>
      </c>
      <c r="B362" s="1" t="s">
        <v>55</v>
      </c>
      <c r="C362" s="1" t="s">
        <v>400</v>
      </c>
      <c r="D362" s="1" t="n">
        <v>12</v>
      </c>
      <c r="E362" s="1" t="n">
        <v>52</v>
      </c>
      <c r="F362" s="1" t="n">
        <f aca="false">SUMIFS(Raw_Data!$H$2:$H$1461,Raw_Data!$A$2:$A$1461,A362)</f>
        <v>101</v>
      </c>
      <c r="G362" s="1" t="n">
        <f aca="false">SUMIFS(Raw_Data!$I$2:$I$1461,Raw_Data!$A$2:$A$1461,A362)</f>
        <v>9884.55</v>
      </c>
      <c r="H362" s="1" t="n">
        <v>300</v>
      </c>
      <c r="I362" s="7" t="n">
        <f aca="false">F362/H362</f>
        <v>0.336666666666667</v>
      </c>
      <c r="J362" s="8" t="n">
        <f aca="false">IFERROR(G362/F362,0)</f>
        <v>97.8668316831683</v>
      </c>
      <c r="K362" s="8" t="n">
        <f aca="false">G362/H362</f>
        <v>32.9485</v>
      </c>
    </row>
    <row r="363" customFormat="false" ht="15" hidden="false" customHeight="true" outlineLevel="0" collapsed="false">
      <c r="A363" s="1" t="s">
        <v>427</v>
      </c>
      <c r="B363" s="1" t="s">
        <v>57</v>
      </c>
      <c r="C363" s="1" t="s">
        <v>400</v>
      </c>
      <c r="D363" s="1" t="n">
        <v>12</v>
      </c>
      <c r="E363" s="1" t="n">
        <v>52</v>
      </c>
      <c r="F363" s="1" t="n">
        <f aca="false">SUMIFS(Raw_Data!$H$2:$H$1461,Raw_Data!$A$2:$A$1461,A363)</f>
        <v>113</v>
      </c>
      <c r="G363" s="1" t="n">
        <f aca="false">SUMIFS(Raw_Data!$I$2:$I$1461,Raw_Data!$A$2:$A$1461,A363)</f>
        <v>11033.93</v>
      </c>
      <c r="H363" s="1" t="n">
        <v>300</v>
      </c>
      <c r="I363" s="7" t="n">
        <f aca="false">F363/H363</f>
        <v>0.376666666666667</v>
      </c>
      <c r="J363" s="8" t="n">
        <f aca="false">IFERROR(G363/F363,0)</f>
        <v>97.6453982300885</v>
      </c>
      <c r="K363" s="8" t="n">
        <f aca="false">G363/H363</f>
        <v>36.7797666666667</v>
      </c>
    </row>
    <row r="364" customFormat="false" ht="15" hidden="false" customHeight="true" outlineLevel="0" collapsed="false">
      <c r="A364" s="1" t="s">
        <v>428</v>
      </c>
      <c r="B364" s="1" t="s">
        <v>59</v>
      </c>
      <c r="C364" s="1" t="s">
        <v>400</v>
      </c>
      <c r="D364" s="1" t="n">
        <v>12</v>
      </c>
      <c r="E364" s="1" t="n">
        <v>53</v>
      </c>
      <c r="F364" s="1" t="n">
        <f aca="false">SUMIFS(Raw_Data!$H$2:$H$1461,Raw_Data!$A$2:$A$1461,A364)</f>
        <v>135</v>
      </c>
      <c r="G364" s="1" t="n">
        <f aca="false">SUMIFS(Raw_Data!$I$2:$I$1461,Raw_Data!$A$2:$A$1461,A364)</f>
        <v>14686.35</v>
      </c>
      <c r="H364" s="1" t="n">
        <v>300</v>
      </c>
      <c r="I364" s="7" t="n">
        <f aca="false">F364/H364</f>
        <v>0.45</v>
      </c>
      <c r="J364" s="8" t="n">
        <f aca="false">IFERROR(G364/F364,0)</f>
        <v>108.787777777778</v>
      </c>
      <c r="K364" s="8" t="n">
        <f aca="false">G364/H364</f>
        <v>48.9545</v>
      </c>
    </row>
    <row r="365" customFormat="false" ht="15" hidden="false" customHeight="true" outlineLevel="0" collapsed="false">
      <c r="A365" s="1" t="s">
        <v>429</v>
      </c>
      <c r="B365" s="1" t="s">
        <v>61</v>
      </c>
      <c r="C365" s="1" t="s">
        <v>400</v>
      </c>
      <c r="D365" s="1" t="n">
        <v>12</v>
      </c>
      <c r="E365" s="1" t="n">
        <v>53</v>
      </c>
      <c r="F365" s="1" t="n">
        <f aca="false">SUMIFS(Raw_Data!$H$2:$H$1461,Raw_Data!$A$2:$A$1461,A365)</f>
        <v>138</v>
      </c>
      <c r="G365" s="1" t="n">
        <f aca="false">SUMIFS(Raw_Data!$I$2:$I$1461,Raw_Data!$A$2:$A$1461,A365)</f>
        <v>14702.23</v>
      </c>
      <c r="H365" s="1" t="n">
        <v>300</v>
      </c>
      <c r="I365" s="7" t="n">
        <f aca="false">F365/H365</f>
        <v>0.46</v>
      </c>
      <c r="J365" s="8" t="n">
        <f aca="false">IFERROR(G365/F365,0)</f>
        <v>106.537898550725</v>
      </c>
      <c r="K365" s="8" t="n">
        <f aca="false">G365/H365</f>
        <v>49.0074333333333</v>
      </c>
    </row>
    <row r="366" customFormat="false" ht="15" hidden="false" customHeight="true" outlineLevel="0" collapsed="false">
      <c r="A366" s="1" t="s">
        <v>430</v>
      </c>
      <c r="B366" s="1" t="s">
        <v>41</v>
      </c>
      <c r="C366" s="1" t="s">
        <v>400</v>
      </c>
      <c r="D366" s="1" t="n">
        <v>12</v>
      </c>
      <c r="E366" s="1" t="n">
        <v>53</v>
      </c>
      <c r="F366" s="1" t="n">
        <f aca="false">SUMIFS(Raw_Data!$H$2:$H$1461,Raw_Data!$A$2:$A$1461,A366)</f>
        <v>148</v>
      </c>
      <c r="G366" s="1" t="n">
        <f aca="false">SUMIFS(Raw_Data!$I$2:$I$1461,Raw_Data!$A$2:$A$1461,A366)</f>
        <v>16171.3</v>
      </c>
      <c r="H366" s="1" t="n">
        <v>300</v>
      </c>
      <c r="I366" s="7" t="n">
        <f aca="false">F366/H366</f>
        <v>0.493333333333333</v>
      </c>
      <c r="J366" s="8" t="n">
        <f aca="false">IFERROR(G366/F366,0)</f>
        <v>109.265540540541</v>
      </c>
      <c r="K366" s="8" t="n">
        <f aca="false">G366/H366</f>
        <v>53.9043333333333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5"/>
    <col collapsed="false" customWidth="true" hidden="false" outlineLevel="0" max="3" min="3" style="1" width="17"/>
    <col collapsed="false" customWidth="true" hidden="false" outlineLevel="0" max="4" min="4" style="1" width="15"/>
    <col collapsed="false" customWidth="true" hidden="false" outlineLevel="0" max="5" min="5" style="1" width="12"/>
    <col collapsed="false" customWidth="true" hidden="false" outlineLevel="0" max="7" min="6" style="1" width="10"/>
  </cols>
  <sheetData>
    <row r="1" customFormat="false" ht="19.5" hidden="false" customHeight="true" outlineLevel="0" collapsed="false">
      <c r="A1" s="9" t="s">
        <v>434</v>
      </c>
      <c r="B1" s="9"/>
      <c r="C1" s="9"/>
      <c r="D1" s="9"/>
      <c r="E1" s="9"/>
      <c r="F1" s="9"/>
    </row>
    <row r="3" customFormat="false" ht="26.25" hidden="false" customHeight="true" outlineLevel="0" collapsed="false">
      <c r="A3" s="6" t="s">
        <v>435</v>
      </c>
      <c r="B3" s="6" t="s">
        <v>436</v>
      </c>
      <c r="C3" s="6" t="s">
        <v>437</v>
      </c>
      <c r="D3" s="6" t="s">
        <v>38</v>
      </c>
      <c r="E3" s="6" t="s">
        <v>438</v>
      </c>
      <c r="F3" s="6" t="s">
        <v>432</v>
      </c>
      <c r="G3" s="6" t="s">
        <v>433</v>
      </c>
    </row>
    <row r="4" customFormat="false" ht="15" hidden="false" customHeight="true" outlineLevel="0" collapsed="false">
      <c r="A4" s="1" t="s">
        <v>42</v>
      </c>
      <c r="B4" s="1" t="n">
        <f aca="false">SUMIFS(Daily_Totals!$F$2:$F$366,Daily_Totals!$C$2:$C$366,A4)</f>
        <v>3558</v>
      </c>
      <c r="C4" s="1" t="n">
        <f aca="false">300*31</f>
        <v>9300</v>
      </c>
      <c r="D4" s="10" t="n">
        <f aca="false">SUMIFS(Daily_Totals!$G$2:$G$366,Daily_Totals!$C$2:$C$366,A4)</f>
        <v>347019.29</v>
      </c>
      <c r="E4" s="7" t="n">
        <f aca="false">B4/C4</f>
        <v>0.38258064516129</v>
      </c>
      <c r="F4" s="8" t="n">
        <f aca="false">IFERROR(D4/B4,0)</f>
        <v>97.5321219786397</v>
      </c>
      <c r="G4" s="8" t="n">
        <f aca="false">D4/C4</f>
        <v>37.3139021505376</v>
      </c>
    </row>
    <row r="5" customFormat="false" ht="15" hidden="false" customHeight="true" outlineLevel="0" collapsed="false">
      <c r="A5" s="1" t="s">
        <v>87</v>
      </c>
      <c r="B5" s="1" t="n">
        <f aca="false">SUMIFS(Daily_Totals!$F$2:$F$366,Daily_Totals!$C$2:$C$366,A5)</f>
        <v>3801</v>
      </c>
      <c r="C5" s="1" t="n">
        <f aca="false">300*28</f>
        <v>8400</v>
      </c>
      <c r="D5" s="10" t="n">
        <f aca="false">SUMIFS(Daily_Totals!$G$2:$G$366,Daily_Totals!$C$2:$C$366,A5)</f>
        <v>384120.68</v>
      </c>
      <c r="E5" s="7" t="n">
        <f aca="false">B5/C5</f>
        <v>0.4525</v>
      </c>
      <c r="F5" s="8" t="n">
        <f aca="false">IFERROR(D5/B5,0)</f>
        <v>101.057795317022</v>
      </c>
      <c r="G5" s="8" t="n">
        <f aca="false">D5/C5</f>
        <v>45.7286523809524</v>
      </c>
    </row>
    <row r="6" customFormat="false" ht="15" hidden="false" customHeight="true" outlineLevel="0" collapsed="false">
      <c r="A6" s="1" t="s">
        <v>116</v>
      </c>
      <c r="B6" s="1" t="n">
        <f aca="false">SUMIFS(Daily_Totals!$F$2:$F$366,Daily_Totals!$C$2:$C$366,A6)</f>
        <v>4957</v>
      </c>
      <c r="C6" s="1" t="n">
        <f aca="false">300*31</f>
        <v>9300</v>
      </c>
      <c r="D6" s="10" t="n">
        <f aca="false">SUMIFS(Daily_Totals!$G$2:$G$366,Daily_Totals!$C$2:$C$366,A6)</f>
        <v>528388.89</v>
      </c>
      <c r="E6" s="7" t="n">
        <f aca="false">B6/C6</f>
        <v>0.533010752688172</v>
      </c>
      <c r="F6" s="8" t="n">
        <f aca="false">IFERROR(D6/B6,0)</f>
        <v>106.594490619326</v>
      </c>
      <c r="G6" s="8" t="n">
        <f aca="false">D6/C6</f>
        <v>56.8160096774194</v>
      </c>
    </row>
    <row r="7" customFormat="false" ht="15" hidden="false" customHeight="true" outlineLevel="0" collapsed="false">
      <c r="A7" s="1" t="s">
        <v>148</v>
      </c>
      <c r="B7" s="1" t="n">
        <f aca="false">SUMIFS(Daily_Totals!$F$2:$F$366,Daily_Totals!$C$2:$C$366,A7)</f>
        <v>4864</v>
      </c>
      <c r="C7" s="1" t="n">
        <f aca="false">300*30</f>
        <v>9000</v>
      </c>
      <c r="D7" s="10" t="n">
        <f aca="false">SUMIFS(Daily_Totals!$G$2:$G$366,Daily_Totals!$C$2:$C$366,A7)</f>
        <v>521261.47</v>
      </c>
      <c r="E7" s="7" t="n">
        <f aca="false">B7/C7</f>
        <v>0.540444444444444</v>
      </c>
      <c r="F7" s="8" t="n">
        <f aca="false">IFERROR(D7/B7,0)</f>
        <v>107.167243009868</v>
      </c>
      <c r="G7" s="8" t="n">
        <f aca="false">D7/C7</f>
        <v>57.9179411111111</v>
      </c>
    </row>
    <row r="8" customFormat="false" ht="15" hidden="false" customHeight="true" outlineLevel="0" collapsed="false">
      <c r="A8" s="1" t="s">
        <v>179</v>
      </c>
      <c r="B8" s="1" t="n">
        <f aca="false">SUMIFS(Daily_Totals!$F$2:$F$366,Daily_Totals!$C$2:$C$366,A8)</f>
        <v>5284</v>
      </c>
      <c r="C8" s="1" t="n">
        <f aca="false">300*31</f>
        <v>9300</v>
      </c>
      <c r="D8" s="10" t="n">
        <f aca="false">SUMIFS(Daily_Totals!$G$2:$G$366,Daily_Totals!$C$2:$C$366,A8)</f>
        <v>570703.13</v>
      </c>
      <c r="E8" s="7" t="n">
        <f aca="false">B8/C8</f>
        <v>0.568172043010753</v>
      </c>
      <c r="F8" s="8" t="n">
        <f aca="false">IFERROR(D8/B8,0)</f>
        <v>108.005891370174</v>
      </c>
      <c r="G8" s="8" t="n">
        <f aca="false">D8/C8</f>
        <v>61.3659279569892</v>
      </c>
    </row>
    <row r="9" customFormat="false" ht="15" hidden="false" customHeight="true" outlineLevel="0" collapsed="false">
      <c r="A9" s="1" t="s">
        <v>211</v>
      </c>
      <c r="B9" s="1" t="n">
        <f aca="false">SUMIFS(Daily_Totals!$F$2:$F$366,Daily_Totals!$C$2:$C$366,A9)</f>
        <v>5158</v>
      </c>
      <c r="C9" s="1" t="n">
        <f aca="false">300*30</f>
        <v>9000</v>
      </c>
      <c r="D9" s="10" t="n">
        <f aca="false">SUMIFS(Daily_Totals!$G$2:$G$366,Daily_Totals!$C$2:$C$366,A9)</f>
        <v>561176.74</v>
      </c>
      <c r="E9" s="7" t="n">
        <f aca="false">B9/C9</f>
        <v>0.573111111111111</v>
      </c>
      <c r="F9" s="8" t="n">
        <f aca="false">IFERROR(D9/B9,0)</f>
        <v>108.7973516867</v>
      </c>
      <c r="G9" s="8" t="n">
        <f aca="false">D9/C9</f>
        <v>62.3529711111111</v>
      </c>
    </row>
    <row r="10" customFormat="false" ht="15" hidden="false" customHeight="true" outlineLevel="0" collapsed="false">
      <c r="A10" s="1" t="s">
        <v>242</v>
      </c>
      <c r="B10" s="1" t="n">
        <f aca="false">SUMIFS(Daily_Totals!$F$2:$F$366,Daily_Totals!$C$2:$C$366,A10)</f>
        <v>4761</v>
      </c>
      <c r="C10" s="1" t="n">
        <f aca="false">300*31</f>
        <v>9300</v>
      </c>
      <c r="D10" s="10" t="n">
        <f aca="false">SUMIFS(Daily_Totals!$G$2:$G$366,Daily_Totals!$C$2:$C$366,A10)</f>
        <v>500981.51</v>
      </c>
      <c r="E10" s="7" t="n">
        <f aca="false">B10/C10</f>
        <v>0.511935483870968</v>
      </c>
      <c r="F10" s="8" t="n">
        <f aca="false">IFERROR(D10/B10,0)</f>
        <v>105.226110060912</v>
      </c>
      <c r="G10" s="8" t="n">
        <f aca="false">D10/C10</f>
        <v>53.8689795698925</v>
      </c>
    </row>
    <row r="11" customFormat="false" ht="15" hidden="false" customHeight="true" outlineLevel="0" collapsed="false">
      <c r="A11" s="1" t="s">
        <v>274</v>
      </c>
      <c r="B11" s="1" t="n">
        <f aca="false">SUMIFS(Daily_Totals!$F$2:$F$366,Daily_Totals!$C$2:$C$366,A11)</f>
        <v>3315</v>
      </c>
      <c r="C11" s="1" t="n">
        <f aca="false">300*31</f>
        <v>9300</v>
      </c>
      <c r="D11" s="10" t="n">
        <f aca="false">SUMIFS(Daily_Totals!$G$2:$G$366,Daily_Totals!$C$2:$C$366,A11)</f>
        <v>313208.13</v>
      </c>
      <c r="E11" s="7" t="n">
        <f aca="false">B11/C11</f>
        <v>0.356451612903226</v>
      </c>
      <c r="F11" s="8" t="n">
        <f aca="false">IFERROR(D11/B11,0)</f>
        <v>94.4820904977376</v>
      </c>
      <c r="G11" s="8" t="n">
        <f aca="false">D11/C11</f>
        <v>33.6782935483871</v>
      </c>
    </row>
    <row r="12" customFormat="false" ht="15" hidden="false" customHeight="true" outlineLevel="0" collapsed="false">
      <c r="A12" s="1" t="s">
        <v>306</v>
      </c>
      <c r="B12" s="1" t="n">
        <f aca="false">SUMIFS(Daily_Totals!$F$2:$F$366,Daily_Totals!$C$2:$C$366,A12)</f>
        <v>5255</v>
      </c>
      <c r="C12" s="1" t="n">
        <f aca="false">300*30</f>
        <v>9000</v>
      </c>
      <c r="D12" s="10" t="n">
        <f aca="false">SUMIFS(Daily_Totals!$G$2:$G$366,Daily_Totals!$C$2:$C$366,A12)</f>
        <v>581383.61</v>
      </c>
      <c r="E12" s="7" t="n">
        <f aca="false">B12/C12</f>
        <v>0.583888888888889</v>
      </c>
      <c r="F12" s="8" t="n">
        <f aca="false">IFERROR(D12/B12,0)</f>
        <v>110.634369172217</v>
      </c>
      <c r="G12" s="8" t="n">
        <f aca="false">D12/C12</f>
        <v>64.5981788888889</v>
      </c>
    </row>
    <row r="13" customFormat="false" ht="15" hidden="false" customHeight="true" outlineLevel="0" collapsed="false">
      <c r="A13" s="1" t="s">
        <v>337</v>
      </c>
      <c r="B13" s="1" t="n">
        <f aca="false">SUMIFS(Daily_Totals!$F$2:$F$366,Daily_Totals!$C$2:$C$366,A13)</f>
        <v>5523</v>
      </c>
      <c r="C13" s="1" t="n">
        <f aca="false">300*31</f>
        <v>9300</v>
      </c>
      <c r="D13" s="10" t="n">
        <f aca="false">SUMIFS(Daily_Totals!$G$2:$G$366,Daily_Totals!$C$2:$C$366,A13)</f>
        <v>613019.31</v>
      </c>
      <c r="E13" s="7" t="n">
        <f aca="false">B13/C13</f>
        <v>0.593870967741936</v>
      </c>
      <c r="F13" s="8" t="n">
        <f aca="false">IFERROR(D13/B13,0)</f>
        <v>110.993900054318</v>
      </c>
      <c r="G13" s="8" t="n">
        <f aca="false">D13/C13</f>
        <v>65.9160548387097</v>
      </c>
    </row>
    <row r="14" customFormat="false" ht="15" hidden="false" customHeight="true" outlineLevel="0" collapsed="false">
      <c r="A14" s="1" t="s">
        <v>369</v>
      </c>
      <c r="B14" s="1" t="n">
        <f aca="false">SUMIFS(Daily_Totals!$F$2:$F$366,Daily_Totals!$C$2:$C$366,A14)</f>
        <v>4998</v>
      </c>
      <c r="C14" s="1" t="n">
        <f aca="false">300*30</f>
        <v>9000</v>
      </c>
      <c r="D14" s="10" t="n">
        <f aca="false">SUMIFS(Daily_Totals!$G$2:$G$366,Daily_Totals!$C$2:$C$366,A14)</f>
        <v>539340.21</v>
      </c>
      <c r="E14" s="7" t="n">
        <f aca="false">B14/C14</f>
        <v>0.555333333333333</v>
      </c>
      <c r="F14" s="8" t="n">
        <f aca="false">IFERROR(D14/B14,0)</f>
        <v>107.911206482593</v>
      </c>
      <c r="G14" s="8" t="n">
        <f aca="false">D14/C14</f>
        <v>59.92669</v>
      </c>
    </row>
    <row r="15" customFormat="false" ht="15" hidden="false" customHeight="true" outlineLevel="0" collapsed="false">
      <c r="A15" s="1" t="s">
        <v>400</v>
      </c>
      <c r="B15" s="1" t="n">
        <f aca="false">SUMIFS(Daily_Totals!$F$2:$F$366,Daily_Totals!$C$2:$C$366,A15)</f>
        <v>4359</v>
      </c>
      <c r="C15" s="1" t="n">
        <f aca="false">300*31</f>
        <v>9300</v>
      </c>
      <c r="D15" s="10" t="n">
        <f aca="false">SUMIFS(Daily_Totals!$G$2:$G$366,Daily_Totals!$C$2:$C$366,A15)</f>
        <v>444263.06</v>
      </c>
      <c r="E15" s="7" t="n">
        <f aca="false">B15/C15</f>
        <v>0.468709677419355</v>
      </c>
      <c r="F15" s="8" t="n">
        <f aca="false">IFERROR(D15/B15,0)</f>
        <v>101.918573067217</v>
      </c>
      <c r="G15" s="8" t="n">
        <f aca="false">D15/C15</f>
        <v>47.7702215053763</v>
      </c>
    </row>
    <row r="16" customFormat="false" ht="15" hidden="false" customHeight="true" outlineLevel="0" collapsed="false">
      <c r="A16" s="11" t="s">
        <v>439</v>
      </c>
      <c r="B16" s="11" t="n">
        <f aca="false">SUM(B4:B15)</f>
        <v>55833</v>
      </c>
      <c r="C16" s="11" t="n">
        <f aca="false">SUM(C4:C15)</f>
        <v>109500</v>
      </c>
      <c r="D16" s="12" t="n">
        <f aca="false">SUM(D4:D15)</f>
        <v>5904866.03</v>
      </c>
      <c r="E16" s="13" t="n">
        <f aca="false">B16/C16</f>
        <v>0.509890410958904</v>
      </c>
      <c r="F16" s="14" t="n">
        <f aca="false">D16/B16</f>
        <v>105.759425966722</v>
      </c>
      <c r="G16" s="14" t="n">
        <f aca="false">D16/C16</f>
        <v>53.9257171689498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3"/>
    <col collapsed="false" customWidth="true" hidden="false" outlineLevel="0" max="3" min="3" style="1" width="15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7" min="6" style="1" width="10"/>
  </cols>
  <sheetData>
    <row r="1" customFormat="false" ht="19.5" hidden="false" customHeight="true" outlineLevel="0" collapsed="false">
      <c r="A1" s="9" t="s">
        <v>440</v>
      </c>
      <c r="B1" s="9"/>
      <c r="C1" s="9"/>
      <c r="D1" s="9"/>
      <c r="E1" s="9"/>
      <c r="F1" s="9"/>
    </row>
    <row r="3" customFormat="false" ht="26.25" hidden="false" customHeight="true" outlineLevel="0" collapsed="false">
      <c r="A3" s="6" t="s">
        <v>441</v>
      </c>
      <c r="B3" s="6" t="s">
        <v>442</v>
      </c>
      <c r="C3" s="6" t="s">
        <v>436</v>
      </c>
      <c r="D3" s="6" t="s">
        <v>38</v>
      </c>
      <c r="E3" s="6" t="s">
        <v>438</v>
      </c>
      <c r="F3" s="6" t="s">
        <v>432</v>
      </c>
      <c r="G3" s="6" t="s">
        <v>433</v>
      </c>
    </row>
    <row r="4" customFormat="false" ht="15" hidden="false" customHeight="true" outlineLevel="0" collapsed="false">
      <c r="A4" s="1" t="n">
        <v>1</v>
      </c>
      <c r="B4" s="1" t="n">
        <f aca="false">COUNTIF(Daily_Totals!$E$2:$E$366,A4)</f>
        <v>5</v>
      </c>
      <c r="C4" s="1" t="n">
        <f aca="false">SUMIFS(Daily_Totals!$F$2:$F$366,Daily_Totals!$E$2:$E$366,A4)</f>
        <v>544</v>
      </c>
      <c r="D4" s="10" t="n">
        <f aca="false">SUMIFS(Daily_Totals!$G$2:$G$366,Daily_Totals!$E$2:$E$366,A4)</f>
        <v>51666.03</v>
      </c>
      <c r="E4" s="7" t="n">
        <f aca="false">IFERROR(C4/(B4*300),0)</f>
        <v>0.362666666666667</v>
      </c>
      <c r="F4" s="8" t="n">
        <f aca="false">IFERROR(D4/C4,0)</f>
        <v>94.9743198529412</v>
      </c>
      <c r="G4" s="8" t="n">
        <f aca="false">IFERROR(D4/(B4*300),0)</f>
        <v>34.44402</v>
      </c>
    </row>
    <row r="5" customFormat="false" ht="15" hidden="false" customHeight="true" outlineLevel="0" collapsed="false">
      <c r="A5" s="1" t="n">
        <v>2</v>
      </c>
      <c r="B5" s="1" t="n">
        <f aca="false">COUNTIF(Daily_Totals!$E$2:$E$366,A5)</f>
        <v>7</v>
      </c>
      <c r="C5" s="1" t="n">
        <f aca="false">SUMIFS(Daily_Totals!$F$2:$F$366,Daily_Totals!$E$2:$E$366,A5)</f>
        <v>807</v>
      </c>
      <c r="D5" s="10" t="n">
        <f aca="false">SUMIFS(Daily_Totals!$G$2:$G$366,Daily_Totals!$E$2:$E$366,A5)</f>
        <v>78251.02</v>
      </c>
      <c r="E5" s="7" t="n">
        <f aca="false">IFERROR(C5/(B5*300),0)</f>
        <v>0.384285714285714</v>
      </c>
      <c r="F5" s="8" t="n">
        <f aca="false">IFERROR(D5/C5,0)</f>
        <v>96.9653283767039</v>
      </c>
      <c r="G5" s="8" t="n">
        <f aca="false">IFERROR(D5/(B5*300),0)</f>
        <v>37.2623904761905</v>
      </c>
    </row>
    <row r="6" customFormat="false" ht="15" hidden="false" customHeight="true" outlineLevel="0" collapsed="false">
      <c r="A6" s="1" t="n">
        <v>3</v>
      </c>
      <c r="B6" s="1" t="n">
        <f aca="false">COUNTIF(Daily_Totals!$E$2:$E$366,A6)</f>
        <v>7</v>
      </c>
      <c r="C6" s="1" t="n">
        <f aca="false">SUMIFS(Daily_Totals!$F$2:$F$366,Daily_Totals!$E$2:$E$366,A6)</f>
        <v>797</v>
      </c>
      <c r="D6" s="10" t="n">
        <f aca="false">SUMIFS(Daily_Totals!$G$2:$G$366,Daily_Totals!$E$2:$E$366,A6)</f>
        <v>77370.3</v>
      </c>
      <c r="E6" s="7" t="n">
        <f aca="false">IFERROR(C6/(B6*300),0)</f>
        <v>0.37952380952381</v>
      </c>
      <c r="F6" s="8" t="n">
        <f aca="false">IFERROR(D6/C6,0)</f>
        <v>97.0769134253451</v>
      </c>
      <c r="G6" s="8" t="n">
        <f aca="false">IFERROR(D6/(B6*300),0)</f>
        <v>36.843</v>
      </c>
    </row>
    <row r="7" customFormat="false" ht="15" hidden="false" customHeight="true" outlineLevel="0" collapsed="false">
      <c r="A7" s="1" t="n">
        <v>4</v>
      </c>
      <c r="B7" s="1" t="n">
        <f aca="false">COUNTIF(Daily_Totals!$E$2:$E$366,A7)</f>
        <v>7</v>
      </c>
      <c r="C7" s="1" t="n">
        <f aca="false">SUMIFS(Daily_Totals!$F$2:$F$366,Daily_Totals!$E$2:$E$366,A7)</f>
        <v>797</v>
      </c>
      <c r="D7" s="10" t="n">
        <f aca="false">SUMIFS(Daily_Totals!$G$2:$G$366,Daily_Totals!$E$2:$E$366,A7)</f>
        <v>78091.06</v>
      </c>
      <c r="E7" s="7" t="n">
        <f aca="false">IFERROR(C7/(B7*300),0)</f>
        <v>0.37952380952381</v>
      </c>
      <c r="F7" s="8" t="n">
        <f aca="false">IFERROR(D7/C7,0)</f>
        <v>97.9812547051443</v>
      </c>
      <c r="G7" s="8" t="n">
        <f aca="false">IFERROR(D7/(B7*300),0)</f>
        <v>37.1862190476191</v>
      </c>
    </row>
    <row r="8" customFormat="false" ht="15" hidden="false" customHeight="true" outlineLevel="0" collapsed="false">
      <c r="A8" s="1" t="n">
        <v>5</v>
      </c>
      <c r="B8" s="1" t="n">
        <f aca="false">COUNTIF(Daily_Totals!$E$2:$E$366,A8)</f>
        <v>7</v>
      </c>
      <c r="C8" s="1" t="n">
        <f aca="false">SUMIFS(Daily_Totals!$F$2:$F$366,Daily_Totals!$E$2:$E$366,A8)</f>
        <v>816</v>
      </c>
      <c r="D8" s="10" t="n">
        <f aca="false">SUMIFS(Daily_Totals!$G$2:$G$366,Daily_Totals!$E$2:$E$366,A8)</f>
        <v>81590.04</v>
      </c>
      <c r="E8" s="7" t="n">
        <f aca="false">IFERROR(C8/(B8*300),0)</f>
        <v>0.388571428571429</v>
      </c>
      <c r="F8" s="8" t="n">
        <f aca="false">IFERROR(D8/C8,0)</f>
        <v>99.9877941176471</v>
      </c>
      <c r="G8" s="8" t="n">
        <f aca="false">IFERROR(D8/(B8*300),0)</f>
        <v>38.8524</v>
      </c>
    </row>
    <row r="9" customFormat="false" ht="15" hidden="false" customHeight="true" outlineLevel="0" collapsed="false">
      <c r="A9" s="1" t="n">
        <v>6</v>
      </c>
      <c r="B9" s="1" t="n">
        <f aca="false">COUNTIF(Daily_Totals!$E$2:$E$366,A9)</f>
        <v>7</v>
      </c>
      <c r="C9" s="1" t="n">
        <f aca="false">SUMIFS(Daily_Totals!$F$2:$F$366,Daily_Totals!$E$2:$E$366,A9)</f>
        <v>988</v>
      </c>
      <c r="D9" s="10" t="n">
        <f aca="false">SUMIFS(Daily_Totals!$G$2:$G$366,Daily_Totals!$E$2:$E$366,A9)</f>
        <v>98748.02</v>
      </c>
      <c r="E9" s="7" t="n">
        <f aca="false">IFERROR(C9/(B9*300),0)</f>
        <v>0.470476190476191</v>
      </c>
      <c r="F9" s="8" t="n">
        <f aca="false">IFERROR(D9/C9,0)</f>
        <v>99.9473886639676</v>
      </c>
      <c r="G9" s="8" t="n">
        <f aca="false">IFERROR(D9/(B9*300),0)</f>
        <v>47.0228666666667</v>
      </c>
    </row>
    <row r="10" customFormat="false" ht="15" hidden="false" customHeight="true" outlineLevel="0" collapsed="false">
      <c r="A10" s="1" t="n">
        <v>7</v>
      </c>
      <c r="B10" s="1" t="n">
        <f aca="false">COUNTIF(Daily_Totals!$E$2:$E$366,A10)</f>
        <v>7</v>
      </c>
      <c r="C10" s="1" t="n">
        <f aca="false">SUMIFS(Daily_Totals!$F$2:$F$366,Daily_Totals!$E$2:$E$366,A10)</f>
        <v>960</v>
      </c>
      <c r="D10" s="10" t="n">
        <f aca="false">SUMIFS(Daily_Totals!$G$2:$G$366,Daily_Totals!$E$2:$E$366,A10)</f>
        <v>97318.35</v>
      </c>
      <c r="E10" s="7" t="n">
        <f aca="false">IFERROR(C10/(B10*300),0)</f>
        <v>0.457142857142857</v>
      </c>
      <c r="F10" s="8" t="n">
        <f aca="false">IFERROR(D10/C10,0)</f>
        <v>101.37328125</v>
      </c>
      <c r="G10" s="8" t="n">
        <f aca="false">IFERROR(D10/(B10*300),0)</f>
        <v>46.3420714285714</v>
      </c>
    </row>
    <row r="11" customFormat="false" ht="15" hidden="false" customHeight="true" outlineLevel="0" collapsed="false">
      <c r="A11" s="1" t="n">
        <v>8</v>
      </c>
      <c r="B11" s="1" t="n">
        <f aca="false">COUNTIF(Daily_Totals!$E$2:$E$366,A11)</f>
        <v>7</v>
      </c>
      <c r="C11" s="1" t="n">
        <f aca="false">SUMIFS(Daily_Totals!$F$2:$F$366,Daily_Totals!$E$2:$E$366,A11)</f>
        <v>924</v>
      </c>
      <c r="D11" s="10" t="n">
        <f aca="false">SUMIFS(Daily_Totals!$G$2:$G$366,Daily_Totals!$E$2:$E$366,A11)</f>
        <v>94939.63</v>
      </c>
      <c r="E11" s="7" t="n">
        <f aca="false">IFERROR(C11/(B11*300),0)</f>
        <v>0.44</v>
      </c>
      <c r="F11" s="8" t="n">
        <f aca="false">IFERROR(D11/C11,0)</f>
        <v>102.748517316017</v>
      </c>
      <c r="G11" s="8" t="n">
        <f aca="false">IFERROR(D11/(B11*300),0)</f>
        <v>45.2093476190476</v>
      </c>
    </row>
    <row r="12" customFormat="false" ht="15" hidden="false" customHeight="true" outlineLevel="0" collapsed="false">
      <c r="A12" s="1" t="n">
        <v>9</v>
      </c>
      <c r="B12" s="1" t="n">
        <f aca="false">COUNTIF(Daily_Totals!$E$2:$E$366,A12)</f>
        <v>7</v>
      </c>
      <c r="C12" s="1" t="n">
        <f aca="false">SUMIFS(Daily_Totals!$F$2:$F$366,Daily_Totals!$E$2:$E$366,A12)</f>
        <v>989</v>
      </c>
      <c r="D12" s="10" t="n">
        <f aca="false">SUMIFS(Daily_Totals!$G$2:$G$366,Daily_Totals!$E$2:$E$366,A12)</f>
        <v>99599.14</v>
      </c>
      <c r="E12" s="7" t="n">
        <f aca="false">IFERROR(C12/(B12*300),0)</f>
        <v>0.470952380952381</v>
      </c>
      <c r="F12" s="8" t="n">
        <f aca="false">IFERROR(D12/C12,0)</f>
        <v>100.706916076845</v>
      </c>
      <c r="G12" s="8" t="n">
        <f aca="false">IFERROR(D12/(B12*300),0)</f>
        <v>47.4281619047619</v>
      </c>
    </row>
    <row r="13" customFormat="false" ht="15" hidden="false" customHeight="true" outlineLevel="0" collapsed="false">
      <c r="A13" s="1" t="n">
        <v>10</v>
      </c>
      <c r="B13" s="1" t="n">
        <f aca="false">COUNTIF(Daily_Totals!$E$2:$E$366,A13)</f>
        <v>7</v>
      </c>
      <c r="C13" s="1" t="n">
        <f aca="false">SUMIFS(Daily_Totals!$F$2:$F$366,Daily_Totals!$E$2:$E$366,A13)</f>
        <v>1124</v>
      </c>
      <c r="D13" s="10" t="n">
        <f aca="false">SUMIFS(Daily_Totals!$G$2:$G$366,Daily_Totals!$E$2:$E$366,A13)</f>
        <v>118912.02</v>
      </c>
      <c r="E13" s="7" t="n">
        <f aca="false">IFERROR(C13/(B13*300),0)</f>
        <v>0.535238095238095</v>
      </c>
      <c r="F13" s="8" t="n">
        <f aca="false">IFERROR(D13/C13,0)</f>
        <v>105.793612099644</v>
      </c>
      <c r="G13" s="8" t="n">
        <f aca="false">IFERROR(D13/(B13*300),0)</f>
        <v>56.6247714285714</v>
      </c>
    </row>
    <row r="14" customFormat="false" ht="15" hidden="false" customHeight="true" outlineLevel="0" collapsed="false">
      <c r="A14" s="1" t="n">
        <v>11</v>
      </c>
      <c r="B14" s="1" t="n">
        <f aca="false">COUNTIF(Daily_Totals!$E$2:$E$366,A14)</f>
        <v>7</v>
      </c>
      <c r="C14" s="1" t="n">
        <f aca="false">SUMIFS(Daily_Totals!$F$2:$F$366,Daily_Totals!$E$2:$E$366,A14)</f>
        <v>1123</v>
      </c>
      <c r="D14" s="10" t="n">
        <f aca="false">SUMIFS(Daily_Totals!$G$2:$G$366,Daily_Totals!$E$2:$E$366,A14)</f>
        <v>120229.47</v>
      </c>
      <c r="E14" s="7" t="n">
        <f aca="false">IFERROR(C14/(B14*300),0)</f>
        <v>0.534761904761905</v>
      </c>
      <c r="F14" s="8" t="n">
        <f aca="false">IFERROR(D14/C14,0)</f>
        <v>107.060970614426</v>
      </c>
      <c r="G14" s="8" t="n">
        <f aca="false">IFERROR(D14/(B14*300),0)</f>
        <v>57.2521285714286</v>
      </c>
    </row>
    <row r="15" customFormat="false" ht="15" hidden="false" customHeight="true" outlineLevel="0" collapsed="false">
      <c r="A15" s="1" t="n">
        <v>12</v>
      </c>
      <c r="B15" s="1" t="n">
        <f aca="false">COUNTIF(Daily_Totals!$E$2:$E$366,A15)</f>
        <v>7</v>
      </c>
      <c r="C15" s="1" t="n">
        <f aca="false">SUMIFS(Daily_Totals!$F$2:$F$366,Daily_Totals!$E$2:$E$366,A15)</f>
        <v>1156</v>
      </c>
      <c r="D15" s="10" t="n">
        <f aca="false">SUMIFS(Daily_Totals!$G$2:$G$366,Daily_Totals!$E$2:$E$366,A15)</f>
        <v>124096.18</v>
      </c>
      <c r="E15" s="7" t="n">
        <f aca="false">IFERROR(C15/(B15*300),0)</f>
        <v>0.550476190476191</v>
      </c>
      <c r="F15" s="8" t="n">
        <f aca="false">IFERROR(D15/C15,0)</f>
        <v>107.349636678201</v>
      </c>
      <c r="G15" s="8" t="n">
        <f aca="false">IFERROR(D15/(B15*300),0)</f>
        <v>59.093419047619</v>
      </c>
    </row>
    <row r="16" customFormat="false" ht="15" hidden="false" customHeight="true" outlineLevel="0" collapsed="false">
      <c r="A16" s="1" t="n">
        <v>13</v>
      </c>
      <c r="B16" s="1" t="n">
        <f aca="false">COUNTIF(Daily_Totals!$E$2:$E$366,A16)</f>
        <v>7</v>
      </c>
      <c r="C16" s="1" t="n">
        <f aca="false">SUMIFS(Daily_Totals!$F$2:$F$366,Daily_Totals!$E$2:$E$366,A16)</f>
        <v>1120</v>
      </c>
      <c r="D16" s="10" t="n">
        <f aca="false">SUMIFS(Daily_Totals!$G$2:$G$366,Daily_Totals!$E$2:$E$366,A16)</f>
        <v>119801.64</v>
      </c>
      <c r="E16" s="7" t="n">
        <f aca="false">IFERROR(C16/(B16*300),0)</f>
        <v>0.533333333333333</v>
      </c>
      <c r="F16" s="8" t="n">
        <f aca="false">IFERROR(D16/C16,0)</f>
        <v>106.96575</v>
      </c>
      <c r="G16" s="8" t="n">
        <f aca="false">IFERROR(D16/(B16*300),0)</f>
        <v>57.0484</v>
      </c>
    </row>
    <row r="17" customFormat="false" ht="15" hidden="false" customHeight="true" outlineLevel="0" collapsed="false">
      <c r="A17" s="1" t="n">
        <v>14</v>
      </c>
      <c r="B17" s="1" t="n">
        <f aca="false">COUNTIF(Daily_Totals!$E$2:$E$366,A17)</f>
        <v>7</v>
      </c>
      <c r="C17" s="1" t="n">
        <f aca="false">SUMIFS(Daily_Totals!$F$2:$F$366,Daily_Totals!$E$2:$E$366,A17)</f>
        <v>1118</v>
      </c>
      <c r="D17" s="10" t="n">
        <f aca="false">SUMIFS(Daily_Totals!$G$2:$G$366,Daily_Totals!$E$2:$E$366,A17)</f>
        <v>118345.86</v>
      </c>
      <c r="E17" s="7" t="n">
        <f aca="false">IFERROR(C17/(B17*300),0)</f>
        <v>0.532380952380952</v>
      </c>
      <c r="F17" s="8" t="n">
        <f aca="false">IFERROR(D17/C17,0)</f>
        <v>105.854973166369</v>
      </c>
      <c r="G17" s="8" t="n">
        <f aca="false">IFERROR(D17/(B17*300),0)</f>
        <v>56.3551714285714</v>
      </c>
    </row>
    <row r="18" customFormat="false" ht="15" hidden="false" customHeight="true" outlineLevel="0" collapsed="false">
      <c r="A18" s="1" t="n">
        <v>15</v>
      </c>
      <c r="B18" s="1" t="n">
        <f aca="false">COUNTIF(Daily_Totals!$E$2:$E$366,A18)</f>
        <v>7</v>
      </c>
      <c r="C18" s="1" t="n">
        <f aca="false">SUMIFS(Daily_Totals!$F$2:$F$366,Daily_Totals!$E$2:$E$366,A18)</f>
        <v>1142</v>
      </c>
      <c r="D18" s="10" t="n">
        <f aca="false">SUMIFS(Daily_Totals!$G$2:$G$366,Daily_Totals!$E$2:$E$366,A18)</f>
        <v>121077.92</v>
      </c>
      <c r="E18" s="7" t="n">
        <f aca="false">IFERROR(C18/(B18*300),0)</f>
        <v>0.543809523809524</v>
      </c>
      <c r="F18" s="8" t="n">
        <f aca="false">IFERROR(D18/C18,0)</f>
        <v>106.022697022767</v>
      </c>
      <c r="G18" s="8" t="n">
        <f aca="false">IFERROR(D18/(B18*300),0)</f>
        <v>57.6561523809524</v>
      </c>
    </row>
    <row r="19" customFormat="false" ht="15" hidden="false" customHeight="true" outlineLevel="0" collapsed="false">
      <c r="A19" s="1" t="n">
        <v>16</v>
      </c>
      <c r="B19" s="1" t="n">
        <f aca="false">COUNTIF(Daily_Totals!$E$2:$E$366,A19)</f>
        <v>7</v>
      </c>
      <c r="C19" s="1" t="n">
        <f aca="false">SUMIFS(Daily_Totals!$F$2:$F$366,Daily_Totals!$E$2:$E$366,A19)</f>
        <v>1098</v>
      </c>
      <c r="D19" s="10" t="n">
        <f aca="false">SUMIFS(Daily_Totals!$G$2:$G$366,Daily_Totals!$E$2:$E$366,A19)</f>
        <v>118098.49</v>
      </c>
      <c r="E19" s="7" t="n">
        <f aca="false">IFERROR(C19/(B19*300),0)</f>
        <v>0.522857142857143</v>
      </c>
      <c r="F19" s="8" t="n">
        <f aca="false">IFERROR(D19/C19,0)</f>
        <v>107.557823315118</v>
      </c>
      <c r="G19" s="8" t="n">
        <f aca="false">IFERROR(D19/(B19*300),0)</f>
        <v>56.2373761904762</v>
      </c>
    </row>
    <row r="20" customFormat="false" ht="15" hidden="false" customHeight="true" outlineLevel="0" collapsed="false">
      <c r="A20" s="1" t="n">
        <v>17</v>
      </c>
      <c r="B20" s="1" t="n">
        <f aca="false">COUNTIF(Daily_Totals!$E$2:$E$366,A20)</f>
        <v>7</v>
      </c>
      <c r="C20" s="1" t="n">
        <f aca="false">SUMIFS(Daily_Totals!$F$2:$F$366,Daily_Totals!$E$2:$E$366,A20)</f>
        <v>1164</v>
      </c>
      <c r="D20" s="10" t="n">
        <f aca="false">SUMIFS(Daily_Totals!$G$2:$G$366,Daily_Totals!$E$2:$E$366,A20)</f>
        <v>126620.52</v>
      </c>
      <c r="E20" s="7" t="n">
        <f aca="false">IFERROR(C20/(B20*300),0)</f>
        <v>0.554285714285714</v>
      </c>
      <c r="F20" s="8" t="n">
        <f aca="false">IFERROR(D20/C20,0)</f>
        <v>108.780515463918</v>
      </c>
      <c r="G20" s="8" t="n">
        <f aca="false">IFERROR(D20/(B20*300),0)</f>
        <v>60.2954857142857</v>
      </c>
    </row>
    <row r="21" customFormat="false" ht="15" hidden="false" customHeight="true" outlineLevel="0" collapsed="false">
      <c r="A21" s="1" t="n">
        <v>18</v>
      </c>
      <c r="B21" s="1" t="n">
        <f aca="false">COUNTIF(Daily_Totals!$E$2:$E$366,A21)</f>
        <v>7</v>
      </c>
      <c r="C21" s="1" t="n">
        <f aca="false">SUMIFS(Daily_Totals!$F$2:$F$366,Daily_Totals!$E$2:$E$366,A21)</f>
        <v>1143</v>
      </c>
      <c r="D21" s="10" t="n">
        <f aca="false">SUMIFS(Daily_Totals!$G$2:$G$366,Daily_Totals!$E$2:$E$366,A21)</f>
        <v>122941.69</v>
      </c>
      <c r="E21" s="7" t="n">
        <f aca="false">IFERROR(C21/(B21*300),0)</f>
        <v>0.544285714285714</v>
      </c>
      <c r="F21" s="8" t="n">
        <f aca="false">IFERROR(D21/C21,0)</f>
        <v>107.56053368329</v>
      </c>
      <c r="G21" s="8" t="n">
        <f aca="false">IFERROR(D21/(B21*300),0)</f>
        <v>58.5436619047619</v>
      </c>
    </row>
    <row r="22" customFormat="false" ht="15" hidden="false" customHeight="true" outlineLevel="0" collapsed="false">
      <c r="A22" s="1" t="n">
        <v>19</v>
      </c>
      <c r="B22" s="1" t="n">
        <f aca="false">COUNTIF(Daily_Totals!$E$2:$E$366,A22)</f>
        <v>7</v>
      </c>
      <c r="C22" s="1" t="n">
        <f aca="false">SUMIFS(Daily_Totals!$F$2:$F$366,Daily_Totals!$E$2:$E$366,A22)</f>
        <v>1229</v>
      </c>
      <c r="D22" s="10" t="n">
        <f aca="false">SUMIFS(Daily_Totals!$G$2:$G$366,Daily_Totals!$E$2:$E$366,A22)</f>
        <v>132852.08</v>
      </c>
      <c r="E22" s="7" t="n">
        <f aca="false">IFERROR(C22/(B22*300),0)</f>
        <v>0.585238095238095</v>
      </c>
      <c r="F22" s="8" t="n">
        <f aca="false">IFERROR(D22/C22,0)</f>
        <v>108.097705451587</v>
      </c>
      <c r="G22" s="8" t="n">
        <f aca="false">IFERROR(D22/(B22*300),0)</f>
        <v>63.2628952380952</v>
      </c>
    </row>
    <row r="23" customFormat="false" ht="15" hidden="false" customHeight="true" outlineLevel="0" collapsed="false">
      <c r="A23" s="1" t="n">
        <v>20</v>
      </c>
      <c r="B23" s="1" t="n">
        <f aca="false">COUNTIF(Daily_Totals!$E$2:$E$366,A23)</f>
        <v>7</v>
      </c>
      <c r="C23" s="1" t="n">
        <f aca="false">SUMIFS(Daily_Totals!$F$2:$F$366,Daily_Totals!$E$2:$E$366,A23)</f>
        <v>1202</v>
      </c>
      <c r="D23" s="10" t="n">
        <f aca="false">SUMIFS(Daily_Totals!$G$2:$G$366,Daily_Totals!$E$2:$E$366,A23)</f>
        <v>128512.23</v>
      </c>
      <c r="E23" s="7" t="n">
        <f aca="false">IFERROR(C23/(B23*300),0)</f>
        <v>0.572380952380952</v>
      </c>
      <c r="F23" s="8" t="n">
        <f aca="false">IFERROR(D23/C23,0)</f>
        <v>106.915332778702</v>
      </c>
      <c r="G23" s="8" t="n">
        <f aca="false">IFERROR(D23/(B23*300),0)</f>
        <v>61.1963</v>
      </c>
    </row>
    <row r="24" customFormat="false" ht="15" hidden="false" customHeight="true" outlineLevel="0" collapsed="false">
      <c r="A24" s="1" t="n">
        <v>21</v>
      </c>
      <c r="B24" s="1" t="n">
        <f aca="false">COUNTIF(Daily_Totals!$E$2:$E$366,A24)</f>
        <v>7</v>
      </c>
      <c r="C24" s="1" t="n">
        <f aca="false">SUMIFS(Daily_Totals!$F$2:$F$366,Daily_Totals!$E$2:$E$366,A24)</f>
        <v>1231</v>
      </c>
      <c r="D24" s="10" t="n">
        <f aca="false">SUMIFS(Daily_Totals!$G$2:$G$366,Daily_Totals!$E$2:$E$366,A24)</f>
        <v>132622.56</v>
      </c>
      <c r="E24" s="7" t="n">
        <f aca="false">IFERROR(C24/(B24*300),0)</f>
        <v>0.586190476190476</v>
      </c>
      <c r="F24" s="8" t="n">
        <f aca="false">IFERROR(D24/C24,0)</f>
        <v>107.735629569456</v>
      </c>
      <c r="G24" s="8" t="n">
        <f aca="false">IFERROR(D24/(B24*300),0)</f>
        <v>63.1536</v>
      </c>
    </row>
    <row r="25" customFormat="false" ht="15" hidden="false" customHeight="true" outlineLevel="0" collapsed="false">
      <c r="A25" s="1" t="n">
        <v>22</v>
      </c>
      <c r="B25" s="1" t="n">
        <f aca="false">COUNTIF(Daily_Totals!$E$2:$E$366,A25)</f>
        <v>7</v>
      </c>
      <c r="C25" s="1" t="n">
        <f aca="false">SUMIFS(Daily_Totals!$F$2:$F$366,Daily_Totals!$E$2:$E$366,A25)</f>
        <v>1117</v>
      </c>
      <c r="D25" s="10" t="n">
        <f aca="false">SUMIFS(Daily_Totals!$G$2:$G$366,Daily_Totals!$E$2:$E$366,A25)</f>
        <v>122952.32</v>
      </c>
      <c r="E25" s="7" t="n">
        <f aca="false">IFERROR(C25/(B25*300),0)</f>
        <v>0.531904761904762</v>
      </c>
      <c r="F25" s="8" t="n">
        <f aca="false">IFERROR(D25/C25,0)</f>
        <v>110.07369740376</v>
      </c>
      <c r="G25" s="8" t="n">
        <f aca="false">IFERROR(D25/(B25*300),0)</f>
        <v>58.5487238095238</v>
      </c>
    </row>
    <row r="26" customFormat="false" ht="15" hidden="false" customHeight="true" outlineLevel="0" collapsed="false">
      <c r="A26" s="1" t="n">
        <v>23</v>
      </c>
      <c r="B26" s="1" t="n">
        <f aca="false">COUNTIF(Daily_Totals!$E$2:$E$366,A26)</f>
        <v>7</v>
      </c>
      <c r="C26" s="1" t="n">
        <f aca="false">SUMIFS(Daily_Totals!$F$2:$F$366,Daily_Totals!$E$2:$E$366,A26)</f>
        <v>1199</v>
      </c>
      <c r="D26" s="10" t="n">
        <f aca="false">SUMIFS(Daily_Totals!$G$2:$G$366,Daily_Totals!$E$2:$E$366,A26)</f>
        <v>130700.44</v>
      </c>
      <c r="E26" s="7" t="n">
        <f aca="false">IFERROR(C26/(B26*300),0)</f>
        <v>0.570952380952381</v>
      </c>
      <c r="F26" s="8" t="n">
        <f aca="false">IFERROR(D26/C26,0)</f>
        <v>109.00787322769</v>
      </c>
      <c r="G26" s="8" t="n">
        <f aca="false">IFERROR(D26/(B26*300),0)</f>
        <v>62.2383047619048</v>
      </c>
    </row>
    <row r="27" customFormat="false" ht="15" hidden="false" customHeight="true" outlineLevel="0" collapsed="false">
      <c r="A27" s="1" t="n">
        <v>24</v>
      </c>
      <c r="B27" s="1" t="n">
        <f aca="false">COUNTIF(Daily_Totals!$E$2:$E$366,A27)</f>
        <v>7</v>
      </c>
      <c r="C27" s="1" t="n">
        <f aca="false">SUMIFS(Daily_Totals!$F$2:$F$366,Daily_Totals!$E$2:$E$366,A27)</f>
        <v>1202</v>
      </c>
      <c r="D27" s="10" t="n">
        <f aca="false">SUMIFS(Daily_Totals!$G$2:$G$366,Daily_Totals!$E$2:$E$366,A27)</f>
        <v>128395.56</v>
      </c>
      <c r="E27" s="7" t="n">
        <f aca="false">IFERROR(C27/(B27*300),0)</f>
        <v>0.572380952380952</v>
      </c>
      <c r="F27" s="8" t="n">
        <f aca="false">IFERROR(D27/C27,0)</f>
        <v>106.818269550749</v>
      </c>
      <c r="G27" s="8" t="n">
        <f aca="false">IFERROR(D27/(B27*300),0)</f>
        <v>61.1407428571429</v>
      </c>
    </row>
    <row r="28" customFormat="false" ht="15" hidden="false" customHeight="true" outlineLevel="0" collapsed="false">
      <c r="A28" s="1" t="n">
        <v>25</v>
      </c>
      <c r="B28" s="1" t="n">
        <f aca="false">COUNTIF(Daily_Totals!$E$2:$E$366,A28)</f>
        <v>7</v>
      </c>
      <c r="C28" s="1" t="n">
        <f aca="false">SUMIFS(Daily_Totals!$F$2:$F$366,Daily_Totals!$E$2:$E$366,A28)</f>
        <v>1197</v>
      </c>
      <c r="D28" s="10" t="n">
        <f aca="false">SUMIFS(Daily_Totals!$G$2:$G$366,Daily_Totals!$E$2:$E$366,A28)</f>
        <v>130653.85</v>
      </c>
      <c r="E28" s="7" t="n">
        <f aca="false">IFERROR(C28/(B28*300),0)</f>
        <v>0.57</v>
      </c>
      <c r="F28" s="8" t="n">
        <f aca="false">IFERROR(D28/C28,0)</f>
        <v>109.151086048454</v>
      </c>
      <c r="G28" s="8" t="n">
        <f aca="false">IFERROR(D28/(B28*300),0)</f>
        <v>62.2161190476191</v>
      </c>
    </row>
    <row r="29" customFormat="false" ht="15" hidden="false" customHeight="true" outlineLevel="0" collapsed="false">
      <c r="A29" s="1" t="n">
        <v>26</v>
      </c>
      <c r="B29" s="1" t="n">
        <f aca="false">COUNTIF(Daily_Totals!$E$2:$E$366,A29)</f>
        <v>7</v>
      </c>
      <c r="C29" s="1" t="n">
        <f aca="false">SUMIFS(Daily_Totals!$F$2:$F$366,Daily_Totals!$E$2:$E$366,A29)</f>
        <v>1242</v>
      </c>
      <c r="D29" s="10" t="n">
        <f aca="false">SUMIFS(Daily_Totals!$G$2:$G$366,Daily_Totals!$E$2:$E$366,A29)</f>
        <v>136186.06</v>
      </c>
      <c r="E29" s="7" t="n">
        <f aca="false">IFERROR(C29/(B29*300),0)</f>
        <v>0.591428571428571</v>
      </c>
      <c r="F29" s="8" t="n">
        <f aca="false">IFERROR(D29/C29,0)</f>
        <v>109.650611916264</v>
      </c>
      <c r="G29" s="8" t="n">
        <f aca="false">IFERROR(D29/(B29*300),0)</f>
        <v>64.8505047619048</v>
      </c>
    </row>
    <row r="30" customFormat="false" ht="15" hidden="false" customHeight="true" outlineLevel="0" collapsed="false">
      <c r="A30" s="1" t="n">
        <v>27</v>
      </c>
      <c r="B30" s="1" t="n">
        <f aca="false">COUNTIF(Daily_Totals!$E$2:$E$366,A30)</f>
        <v>7</v>
      </c>
      <c r="C30" s="1" t="n">
        <f aca="false">SUMIFS(Daily_Totals!$F$2:$F$366,Daily_Totals!$E$2:$E$366,A30)</f>
        <v>1108</v>
      </c>
      <c r="D30" s="10" t="n">
        <f aca="false">SUMIFS(Daily_Totals!$G$2:$G$366,Daily_Totals!$E$2:$E$366,A30)</f>
        <v>119349.33</v>
      </c>
      <c r="E30" s="7" t="n">
        <f aca="false">IFERROR(C30/(B30*300),0)</f>
        <v>0.527619047619048</v>
      </c>
      <c r="F30" s="8" t="n">
        <f aca="false">IFERROR(D30/C30,0)</f>
        <v>107.716001805054</v>
      </c>
      <c r="G30" s="8" t="n">
        <f aca="false">IFERROR(D30/(B30*300),0)</f>
        <v>56.8330142857143</v>
      </c>
    </row>
    <row r="31" customFormat="false" ht="15" hidden="false" customHeight="true" outlineLevel="0" collapsed="false">
      <c r="A31" s="1" t="n">
        <v>28</v>
      </c>
      <c r="B31" s="1" t="n">
        <f aca="false">COUNTIF(Daily_Totals!$E$2:$E$366,A31)</f>
        <v>7</v>
      </c>
      <c r="C31" s="1" t="n">
        <f aca="false">SUMIFS(Daily_Totals!$F$2:$F$366,Daily_Totals!$E$2:$E$366,A31)</f>
        <v>1075</v>
      </c>
      <c r="D31" s="10" t="n">
        <f aca="false">SUMIFS(Daily_Totals!$G$2:$G$366,Daily_Totals!$E$2:$E$366,A31)</f>
        <v>111622.08</v>
      </c>
      <c r="E31" s="7" t="n">
        <f aca="false">IFERROR(C31/(B31*300),0)</f>
        <v>0.511904761904762</v>
      </c>
      <c r="F31" s="8" t="n">
        <f aca="false">IFERROR(D31/C31,0)</f>
        <v>103.834493023256</v>
      </c>
      <c r="G31" s="8" t="n">
        <f aca="false">IFERROR(D31/(B31*300),0)</f>
        <v>53.1533714285714</v>
      </c>
    </row>
    <row r="32" customFormat="false" ht="15" hidden="false" customHeight="true" outlineLevel="0" collapsed="false">
      <c r="A32" s="1" t="n">
        <v>29</v>
      </c>
      <c r="B32" s="1" t="n">
        <f aca="false">COUNTIF(Daily_Totals!$E$2:$E$366,A32)</f>
        <v>7</v>
      </c>
      <c r="C32" s="1" t="n">
        <f aca="false">SUMIFS(Daily_Totals!$F$2:$F$366,Daily_Totals!$E$2:$E$366,A32)</f>
        <v>1018</v>
      </c>
      <c r="D32" s="10" t="n">
        <f aca="false">SUMIFS(Daily_Totals!$G$2:$G$366,Daily_Totals!$E$2:$E$366,A32)</f>
        <v>105252.43</v>
      </c>
      <c r="E32" s="7" t="n">
        <f aca="false">IFERROR(C32/(B32*300),0)</f>
        <v>0.484761904761905</v>
      </c>
      <c r="F32" s="8" t="n">
        <f aca="false">IFERROR(D32/C32,0)</f>
        <v>103.391385068762</v>
      </c>
      <c r="G32" s="8" t="n">
        <f aca="false">IFERROR(D32/(B32*300),0)</f>
        <v>50.1202047619048</v>
      </c>
    </row>
    <row r="33" customFormat="false" ht="15" hidden="false" customHeight="true" outlineLevel="0" collapsed="false">
      <c r="A33" s="1" t="n">
        <v>30</v>
      </c>
      <c r="B33" s="1" t="n">
        <f aca="false">COUNTIF(Daily_Totals!$E$2:$E$366,A33)</f>
        <v>7</v>
      </c>
      <c r="C33" s="1" t="n">
        <f aca="false">SUMIFS(Daily_Totals!$F$2:$F$366,Daily_Totals!$E$2:$E$366,A33)</f>
        <v>1075</v>
      </c>
      <c r="D33" s="10" t="n">
        <f aca="false">SUMIFS(Daily_Totals!$G$2:$G$366,Daily_Totals!$E$2:$E$366,A33)</f>
        <v>115222.39</v>
      </c>
      <c r="E33" s="7" t="n">
        <f aca="false">IFERROR(C33/(B33*300),0)</f>
        <v>0.511904761904762</v>
      </c>
      <c r="F33" s="8" t="n">
        <f aca="false">IFERROR(D33/C33,0)</f>
        <v>107.183618604651</v>
      </c>
      <c r="G33" s="8" t="n">
        <f aca="false">IFERROR(D33/(B33*300),0)</f>
        <v>54.8678047619048</v>
      </c>
    </row>
    <row r="34" customFormat="false" ht="15" hidden="false" customHeight="true" outlineLevel="0" collapsed="false">
      <c r="A34" s="1" t="n">
        <v>31</v>
      </c>
      <c r="B34" s="1" t="n">
        <f aca="false">COUNTIF(Daily_Totals!$E$2:$E$366,A34)</f>
        <v>7</v>
      </c>
      <c r="C34" s="1" t="n">
        <f aca="false">SUMIFS(Daily_Totals!$F$2:$F$366,Daily_Totals!$E$2:$E$366,A34)</f>
        <v>968</v>
      </c>
      <c r="D34" s="10" t="n">
        <f aca="false">SUMIFS(Daily_Totals!$G$2:$G$366,Daily_Totals!$E$2:$E$366,A34)</f>
        <v>98453.77</v>
      </c>
      <c r="E34" s="7" t="n">
        <f aca="false">IFERROR(C34/(B34*300),0)</f>
        <v>0.460952380952381</v>
      </c>
      <c r="F34" s="8" t="n">
        <f aca="false">IFERROR(D34/C34,0)</f>
        <v>101.708440082645</v>
      </c>
      <c r="G34" s="8" t="n">
        <f aca="false">IFERROR(D34/(B34*300),0)</f>
        <v>46.8827476190476</v>
      </c>
    </row>
    <row r="35" customFormat="false" ht="15" hidden="false" customHeight="true" outlineLevel="0" collapsed="false">
      <c r="A35" s="1" t="n">
        <v>32</v>
      </c>
      <c r="B35" s="1" t="n">
        <f aca="false">COUNTIF(Daily_Totals!$E$2:$E$366,A35)</f>
        <v>7</v>
      </c>
      <c r="C35" s="1" t="n">
        <f aca="false">SUMIFS(Daily_Totals!$F$2:$F$366,Daily_Totals!$E$2:$E$366,A35)</f>
        <v>755</v>
      </c>
      <c r="D35" s="10" t="n">
        <f aca="false">SUMIFS(Daily_Totals!$G$2:$G$366,Daily_Totals!$E$2:$E$366,A35)</f>
        <v>71637.15</v>
      </c>
      <c r="E35" s="7" t="n">
        <f aca="false">IFERROR(C35/(B35*300),0)</f>
        <v>0.35952380952381</v>
      </c>
      <c r="F35" s="8" t="n">
        <f aca="false">IFERROR(D35/C35,0)</f>
        <v>94.883642384106</v>
      </c>
      <c r="G35" s="8" t="n">
        <f aca="false">IFERROR(D35/(B35*300),0)</f>
        <v>34.1129285714286</v>
      </c>
    </row>
    <row r="36" customFormat="false" ht="15" hidden="false" customHeight="true" outlineLevel="0" collapsed="false">
      <c r="A36" s="1" t="n">
        <v>33</v>
      </c>
      <c r="B36" s="1" t="n">
        <f aca="false">COUNTIF(Daily_Totals!$E$2:$E$366,A36)</f>
        <v>7</v>
      </c>
      <c r="C36" s="1" t="n">
        <f aca="false">SUMIFS(Daily_Totals!$F$2:$F$366,Daily_Totals!$E$2:$E$366,A36)</f>
        <v>743</v>
      </c>
      <c r="D36" s="10" t="n">
        <f aca="false">SUMIFS(Daily_Totals!$G$2:$G$366,Daily_Totals!$E$2:$E$366,A36)</f>
        <v>70056.46</v>
      </c>
      <c r="E36" s="7" t="n">
        <f aca="false">IFERROR(C36/(B36*300),0)</f>
        <v>0.353809523809524</v>
      </c>
      <c r="F36" s="8" t="n">
        <f aca="false">IFERROR(D36/C36,0)</f>
        <v>94.2886406460296</v>
      </c>
      <c r="G36" s="8" t="n">
        <f aca="false">IFERROR(D36/(B36*300),0)</f>
        <v>33.3602190476191</v>
      </c>
    </row>
    <row r="37" customFormat="false" ht="15" hidden="false" customHeight="true" outlineLevel="0" collapsed="false">
      <c r="A37" s="1" t="n">
        <v>34</v>
      </c>
      <c r="B37" s="1" t="n">
        <f aca="false">COUNTIF(Daily_Totals!$E$2:$E$366,A37)</f>
        <v>7</v>
      </c>
      <c r="C37" s="1" t="n">
        <f aca="false">SUMIFS(Daily_Totals!$F$2:$F$366,Daily_Totals!$E$2:$E$366,A37)</f>
        <v>777</v>
      </c>
      <c r="D37" s="10" t="n">
        <f aca="false">SUMIFS(Daily_Totals!$G$2:$G$366,Daily_Totals!$E$2:$E$366,A37)</f>
        <v>72832.16</v>
      </c>
      <c r="E37" s="7" t="n">
        <f aca="false">IFERROR(C37/(B37*300),0)</f>
        <v>0.37</v>
      </c>
      <c r="F37" s="8" t="n">
        <f aca="false">IFERROR(D37/C37,0)</f>
        <v>93.7350836550837</v>
      </c>
      <c r="G37" s="8" t="n">
        <f aca="false">IFERROR(D37/(B37*300),0)</f>
        <v>34.681980952381</v>
      </c>
    </row>
    <row r="38" customFormat="false" ht="15" hidden="false" customHeight="true" outlineLevel="0" collapsed="false">
      <c r="A38" s="1" t="n">
        <v>35</v>
      </c>
      <c r="B38" s="1" t="n">
        <f aca="false">COUNTIF(Daily_Totals!$E$2:$E$366,A38)</f>
        <v>7</v>
      </c>
      <c r="C38" s="1" t="n">
        <f aca="false">SUMIFS(Daily_Totals!$F$2:$F$366,Daily_Totals!$E$2:$E$366,A38)</f>
        <v>750</v>
      </c>
      <c r="D38" s="10" t="n">
        <f aca="false">SUMIFS(Daily_Totals!$G$2:$G$366,Daily_Totals!$E$2:$E$366,A38)</f>
        <v>71861.59</v>
      </c>
      <c r="E38" s="7" t="n">
        <f aca="false">IFERROR(C38/(B38*300),0)</f>
        <v>0.357142857142857</v>
      </c>
      <c r="F38" s="8" t="n">
        <f aca="false">IFERROR(D38/C38,0)</f>
        <v>95.8154533333333</v>
      </c>
      <c r="G38" s="8" t="n">
        <f aca="false">IFERROR(D38/(B38*300),0)</f>
        <v>34.2198047619048</v>
      </c>
    </row>
    <row r="39" customFormat="false" ht="15" hidden="false" customHeight="true" outlineLevel="0" collapsed="false">
      <c r="A39" s="1" t="n">
        <v>36</v>
      </c>
      <c r="B39" s="1" t="n">
        <f aca="false">COUNTIF(Daily_Totals!$E$2:$E$366,A39)</f>
        <v>7</v>
      </c>
      <c r="C39" s="1" t="n">
        <f aca="false">SUMIFS(Daily_Totals!$F$2:$F$366,Daily_Totals!$E$2:$E$366,A39)</f>
        <v>1237</v>
      </c>
      <c r="D39" s="10" t="n">
        <f aca="false">SUMIFS(Daily_Totals!$G$2:$G$366,Daily_Totals!$E$2:$E$366,A39)</f>
        <v>137671.29</v>
      </c>
      <c r="E39" s="7" t="n">
        <f aca="false">IFERROR(C39/(B39*300),0)</f>
        <v>0.589047619047619</v>
      </c>
      <c r="F39" s="8" t="n">
        <f aca="false">IFERROR(D39/C39,0)</f>
        <v>111.294494745352</v>
      </c>
      <c r="G39" s="8" t="n">
        <f aca="false">IFERROR(D39/(B39*300),0)</f>
        <v>65.5577571428571</v>
      </c>
    </row>
    <row r="40" customFormat="false" ht="15" hidden="false" customHeight="true" outlineLevel="0" collapsed="false">
      <c r="A40" s="1" t="n">
        <v>37</v>
      </c>
      <c r="B40" s="1" t="n">
        <f aca="false">COUNTIF(Daily_Totals!$E$2:$E$366,A40)</f>
        <v>7</v>
      </c>
      <c r="C40" s="1" t="n">
        <f aca="false">SUMIFS(Daily_Totals!$F$2:$F$366,Daily_Totals!$E$2:$E$366,A40)</f>
        <v>1201</v>
      </c>
      <c r="D40" s="10" t="n">
        <f aca="false">SUMIFS(Daily_Totals!$G$2:$G$366,Daily_Totals!$E$2:$E$366,A40)</f>
        <v>129171.03</v>
      </c>
      <c r="E40" s="7" t="n">
        <f aca="false">IFERROR(C40/(B40*300),0)</f>
        <v>0.571904761904762</v>
      </c>
      <c r="F40" s="8" t="n">
        <f aca="false">IFERROR(D40/C40,0)</f>
        <v>107.552897585346</v>
      </c>
      <c r="G40" s="8" t="n">
        <f aca="false">IFERROR(D40/(B40*300),0)</f>
        <v>61.5100142857143</v>
      </c>
    </row>
    <row r="41" customFormat="false" ht="15" hidden="false" customHeight="true" outlineLevel="0" collapsed="false">
      <c r="A41" s="1" t="n">
        <v>38</v>
      </c>
      <c r="B41" s="1" t="n">
        <f aca="false">COUNTIF(Daily_Totals!$E$2:$E$366,A41)</f>
        <v>7</v>
      </c>
      <c r="C41" s="1" t="n">
        <f aca="false">SUMIFS(Daily_Totals!$F$2:$F$366,Daily_Totals!$E$2:$E$366,A41)</f>
        <v>1212</v>
      </c>
      <c r="D41" s="10" t="n">
        <f aca="false">SUMIFS(Daily_Totals!$G$2:$G$366,Daily_Totals!$E$2:$E$366,A41)</f>
        <v>134641.36</v>
      </c>
      <c r="E41" s="7" t="n">
        <f aca="false">IFERROR(C41/(B41*300),0)</f>
        <v>0.577142857142857</v>
      </c>
      <c r="F41" s="8" t="n">
        <f aca="false">IFERROR(D41/C41,0)</f>
        <v>111.090231023102</v>
      </c>
      <c r="G41" s="8" t="n">
        <f aca="false">IFERROR(D41/(B41*300),0)</f>
        <v>64.1149333333333</v>
      </c>
    </row>
    <row r="42" customFormat="false" ht="15" hidden="false" customHeight="true" outlineLevel="0" collapsed="false">
      <c r="A42" s="1" t="n">
        <v>39</v>
      </c>
      <c r="B42" s="1" t="n">
        <f aca="false">COUNTIF(Daily_Totals!$E$2:$E$366,A42)</f>
        <v>7</v>
      </c>
      <c r="C42" s="1" t="n">
        <f aca="false">SUMIFS(Daily_Totals!$F$2:$F$366,Daily_Totals!$E$2:$E$366,A42)</f>
        <v>1241</v>
      </c>
      <c r="D42" s="10" t="n">
        <f aca="false">SUMIFS(Daily_Totals!$G$2:$G$366,Daily_Totals!$E$2:$E$366,A42)</f>
        <v>138643.96</v>
      </c>
      <c r="E42" s="7" t="n">
        <f aca="false">IFERROR(C42/(B42*300),0)</f>
        <v>0.590952380952381</v>
      </c>
      <c r="F42" s="8" t="n">
        <f aca="false">IFERROR(D42/C42,0)</f>
        <v>111.719548751007</v>
      </c>
      <c r="G42" s="8" t="n">
        <f aca="false">IFERROR(D42/(B42*300),0)</f>
        <v>66.0209333333333</v>
      </c>
    </row>
    <row r="43" customFormat="false" ht="15" hidden="false" customHeight="true" outlineLevel="0" collapsed="false">
      <c r="A43" s="1" t="n">
        <v>40</v>
      </c>
      <c r="B43" s="1" t="n">
        <f aca="false">COUNTIF(Daily_Totals!$E$2:$E$366,A43)</f>
        <v>7</v>
      </c>
      <c r="C43" s="1" t="n">
        <f aca="false">SUMIFS(Daily_Totals!$F$2:$F$366,Daily_Totals!$E$2:$E$366,A43)</f>
        <v>1244</v>
      </c>
      <c r="D43" s="10" t="n">
        <f aca="false">SUMIFS(Daily_Totals!$G$2:$G$366,Daily_Totals!$E$2:$E$366,A43)</f>
        <v>137054.13</v>
      </c>
      <c r="E43" s="7" t="n">
        <f aca="false">IFERROR(C43/(B43*300),0)</f>
        <v>0.592380952380952</v>
      </c>
      <c r="F43" s="8" t="n">
        <f aca="false">IFERROR(D43/C43,0)</f>
        <v>110.17213022508</v>
      </c>
      <c r="G43" s="8" t="n">
        <f aca="false">IFERROR(D43/(B43*300),0)</f>
        <v>65.2638714285714</v>
      </c>
    </row>
    <row r="44" customFormat="false" ht="15" hidden="false" customHeight="true" outlineLevel="0" collapsed="false">
      <c r="A44" s="1" t="n">
        <v>41</v>
      </c>
      <c r="B44" s="1" t="n">
        <f aca="false">COUNTIF(Daily_Totals!$E$2:$E$366,A44)</f>
        <v>7</v>
      </c>
      <c r="C44" s="1" t="n">
        <f aca="false">SUMIFS(Daily_Totals!$F$2:$F$366,Daily_Totals!$E$2:$E$366,A44)</f>
        <v>1211</v>
      </c>
      <c r="D44" s="10" t="n">
        <f aca="false">SUMIFS(Daily_Totals!$G$2:$G$366,Daily_Totals!$E$2:$E$366,A44)</f>
        <v>134945.52</v>
      </c>
      <c r="E44" s="7" t="n">
        <f aca="false">IFERROR(C44/(B44*300),0)</f>
        <v>0.576666666666667</v>
      </c>
      <c r="F44" s="8" t="n">
        <f aca="false">IFERROR(D44/C44,0)</f>
        <v>111.433129644922</v>
      </c>
      <c r="G44" s="8" t="n">
        <f aca="false">IFERROR(D44/(B44*300),0)</f>
        <v>64.2597714285714</v>
      </c>
    </row>
    <row r="45" customFormat="false" ht="15" hidden="false" customHeight="true" outlineLevel="0" collapsed="false">
      <c r="A45" s="1" t="n">
        <v>42</v>
      </c>
      <c r="B45" s="1" t="n">
        <f aca="false">COUNTIF(Daily_Totals!$E$2:$E$366,A45)</f>
        <v>7</v>
      </c>
      <c r="C45" s="1" t="n">
        <f aca="false">SUMIFS(Daily_Totals!$F$2:$F$366,Daily_Totals!$E$2:$E$366,A45)</f>
        <v>1268</v>
      </c>
      <c r="D45" s="10" t="n">
        <f aca="false">SUMIFS(Daily_Totals!$G$2:$G$366,Daily_Totals!$E$2:$E$366,A45)</f>
        <v>145162.65</v>
      </c>
      <c r="E45" s="7" t="n">
        <f aca="false">IFERROR(C45/(B45*300),0)</f>
        <v>0.603809523809524</v>
      </c>
      <c r="F45" s="8" t="n">
        <f aca="false">IFERROR(D45/C45,0)</f>
        <v>114.481585173502</v>
      </c>
      <c r="G45" s="8" t="n">
        <f aca="false">IFERROR(D45/(B45*300),0)</f>
        <v>69.1250714285714</v>
      </c>
    </row>
    <row r="46" customFormat="false" ht="15" hidden="false" customHeight="true" outlineLevel="0" collapsed="false">
      <c r="A46" s="1" t="n">
        <v>43</v>
      </c>
      <c r="B46" s="1" t="n">
        <f aca="false">COUNTIF(Daily_Totals!$E$2:$E$366,A46)</f>
        <v>7</v>
      </c>
      <c r="C46" s="1" t="n">
        <f aca="false">SUMIFS(Daily_Totals!$F$2:$F$366,Daily_Totals!$E$2:$E$366,A46)</f>
        <v>1210</v>
      </c>
      <c r="D46" s="10" t="n">
        <f aca="false">SUMIFS(Daily_Totals!$G$2:$G$366,Daily_Totals!$E$2:$E$366,A46)</f>
        <v>131780</v>
      </c>
      <c r="E46" s="7" t="n">
        <f aca="false">IFERROR(C46/(B46*300),0)</f>
        <v>0.576190476190476</v>
      </c>
      <c r="F46" s="8" t="n">
        <f aca="false">IFERROR(D46/C46,0)</f>
        <v>108.909090909091</v>
      </c>
      <c r="G46" s="8" t="n">
        <f aca="false">IFERROR(D46/(B46*300),0)</f>
        <v>62.752380952381</v>
      </c>
    </row>
    <row r="47" customFormat="false" ht="15" hidden="false" customHeight="true" outlineLevel="0" collapsed="false">
      <c r="A47" s="1" t="n">
        <v>44</v>
      </c>
      <c r="B47" s="1" t="n">
        <f aca="false">COUNTIF(Daily_Totals!$E$2:$E$366,A47)</f>
        <v>7</v>
      </c>
      <c r="C47" s="1" t="n">
        <f aca="false">SUMIFS(Daily_Totals!$F$2:$F$366,Daily_Totals!$E$2:$E$366,A47)</f>
        <v>1215</v>
      </c>
      <c r="D47" s="10" t="n">
        <f aca="false">SUMIFS(Daily_Totals!$G$2:$G$366,Daily_Totals!$E$2:$E$366,A47)</f>
        <v>132001.98</v>
      </c>
      <c r="E47" s="7" t="n">
        <f aca="false">IFERROR(C47/(B47*300),0)</f>
        <v>0.578571428571429</v>
      </c>
      <c r="F47" s="8" t="n">
        <f aca="false">IFERROR(D47/C47,0)</f>
        <v>108.643604938272</v>
      </c>
      <c r="G47" s="8" t="n">
        <f aca="false">IFERROR(D47/(B47*300),0)</f>
        <v>62.8580857142857</v>
      </c>
    </row>
    <row r="48" customFormat="false" ht="15" hidden="false" customHeight="true" outlineLevel="0" collapsed="false">
      <c r="A48" s="1" t="n">
        <v>45</v>
      </c>
      <c r="B48" s="1" t="n">
        <f aca="false">COUNTIF(Daily_Totals!$E$2:$E$366,A48)</f>
        <v>7</v>
      </c>
      <c r="C48" s="1" t="n">
        <f aca="false">SUMIFS(Daily_Totals!$F$2:$F$366,Daily_Totals!$E$2:$E$366,A48)</f>
        <v>1160</v>
      </c>
      <c r="D48" s="10" t="n">
        <f aca="false">SUMIFS(Daily_Totals!$G$2:$G$366,Daily_Totals!$E$2:$E$366,A48)</f>
        <v>126163.26</v>
      </c>
      <c r="E48" s="7" t="n">
        <f aca="false">IFERROR(C48/(B48*300),0)</f>
        <v>0.552380952380952</v>
      </c>
      <c r="F48" s="8" t="n">
        <f aca="false">IFERROR(D48/C48,0)</f>
        <v>108.761431034483</v>
      </c>
      <c r="G48" s="8" t="n">
        <f aca="false">IFERROR(D48/(B48*300),0)</f>
        <v>60.0777428571429</v>
      </c>
    </row>
    <row r="49" customFormat="false" ht="15" hidden="false" customHeight="true" outlineLevel="0" collapsed="false">
      <c r="A49" s="1" t="n">
        <v>46</v>
      </c>
      <c r="B49" s="1" t="n">
        <f aca="false">COUNTIF(Daily_Totals!$E$2:$E$366,A49)</f>
        <v>7</v>
      </c>
      <c r="C49" s="1" t="n">
        <f aca="false">SUMIFS(Daily_Totals!$F$2:$F$366,Daily_Totals!$E$2:$E$366,A49)</f>
        <v>1192</v>
      </c>
      <c r="D49" s="10" t="n">
        <f aca="false">SUMIFS(Daily_Totals!$G$2:$G$366,Daily_Totals!$E$2:$E$366,A49)</f>
        <v>129470.74</v>
      </c>
      <c r="E49" s="7" t="n">
        <f aca="false">IFERROR(C49/(B49*300),0)</f>
        <v>0.567619047619048</v>
      </c>
      <c r="F49" s="8" t="n">
        <f aca="false">IFERROR(D49/C49,0)</f>
        <v>108.61639261745</v>
      </c>
      <c r="G49" s="8" t="n">
        <f aca="false">IFERROR(D49/(B49*300),0)</f>
        <v>61.6527333333333</v>
      </c>
    </row>
    <row r="50" customFormat="false" ht="15" hidden="false" customHeight="true" outlineLevel="0" collapsed="false">
      <c r="A50" s="1" t="n">
        <v>47</v>
      </c>
      <c r="B50" s="1" t="n">
        <f aca="false">COUNTIF(Daily_Totals!$E$2:$E$366,A50)</f>
        <v>7</v>
      </c>
      <c r="C50" s="1" t="n">
        <f aca="false">SUMIFS(Daily_Totals!$F$2:$F$366,Daily_Totals!$E$2:$E$366,A50)</f>
        <v>1195</v>
      </c>
      <c r="D50" s="10" t="n">
        <f aca="false">SUMIFS(Daily_Totals!$G$2:$G$366,Daily_Totals!$E$2:$E$366,A50)</f>
        <v>127797.67</v>
      </c>
      <c r="E50" s="7" t="n">
        <f aca="false">IFERROR(C50/(B50*300),0)</f>
        <v>0.569047619047619</v>
      </c>
      <c r="F50" s="8" t="n">
        <f aca="false">IFERROR(D50/C50,0)</f>
        <v>106.943656903766</v>
      </c>
      <c r="G50" s="8" t="n">
        <f aca="false">IFERROR(D50/(B50*300),0)</f>
        <v>60.8560333333333</v>
      </c>
    </row>
    <row r="51" customFormat="false" ht="15" hidden="false" customHeight="true" outlineLevel="0" collapsed="false">
      <c r="A51" s="1" t="n">
        <v>48</v>
      </c>
      <c r="B51" s="1" t="n">
        <f aca="false">COUNTIF(Daily_Totals!$E$2:$E$366,A51)</f>
        <v>7</v>
      </c>
      <c r="C51" s="1" t="n">
        <f aca="false">SUMIFS(Daily_Totals!$F$2:$F$366,Daily_Totals!$E$2:$E$366,A51)</f>
        <v>1190</v>
      </c>
      <c r="D51" s="10" t="n">
        <f aca="false">SUMIFS(Daily_Totals!$G$2:$G$366,Daily_Totals!$E$2:$E$366,A51)</f>
        <v>129239.54</v>
      </c>
      <c r="E51" s="7" t="n">
        <f aca="false">IFERROR(C51/(B51*300),0)</f>
        <v>0.566666666666667</v>
      </c>
      <c r="F51" s="8" t="n">
        <f aca="false">IFERROR(D51/C51,0)</f>
        <v>108.604655462185</v>
      </c>
      <c r="G51" s="8" t="n">
        <f aca="false">IFERROR(D51/(B51*300),0)</f>
        <v>61.5426380952381</v>
      </c>
    </row>
    <row r="52" customFormat="false" ht="15" hidden="false" customHeight="true" outlineLevel="0" collapsed="false">
      <c r="A52" s="1" t="n">
        <v>49</v>
      </c>
      <c r="B52" s="1" t="n">
        <f aca="false">COUNTIF(Daily_Totals!$E$2:$E$366,A52)</f>
        <v>7</v>
      </c>
      <c r="C52" s="1" t="n">
        <f aca="false">SUMIFS(Daily_Totals!$F$2:$F$366,Daily_Totals!$E$2:$E$366,A52)</f>
        <v>1016</v>
      </c>
      <c r="D52" s="10" t="n">
        <f aca="false">SUMIFS(Daily_Totals!$G$2:$G$366,Daily_Totals!$E$2:$E$366,A52)</f>
        <v>103973.79</v>
      </c>
      <c r="E52" s="7" t="n">
        <f aca="false">IFERROR(C52/(B52*300),0)</f>
        <v>0.483809523809524</v>
      </c>
      <c r="F52" s="8" t="n">
        <f aca="false">IFERROR(D52/C52,0)</f>
        <v>102.336407480315</v>
      </c>
      <c r="G52" s="8" t="n">
        <f aca="false">IFERROR(D52/(B52*300),0)</f>
        <v>49.5113285714286</v>
      </c>
    </row>
    <row r="53" customFormat="false" ht="15" hidden="false" customHeight="true" outlineLevel="0" collapsed="false">
      <c r="A53" s="1" t="n">
        <v>50</v>
      </c>
      <c r="B53" s="1" t="n">
        <f aca="false">COUNTIF(Daily_Totals!$E$2:$E$366,A53)</f>
        <v>7</v>
      </c>
      <c r="C53" s="1" t="n">
        <f aca="false">SUMIFS(Daily_Totals!$F$2:$F$366,Daily_Totals!$E$2:$E$366,A53)</f>
        <v>967</v>
      </c>
      <c r="D53" s="10" t="n">
        <f aca="false">SUMIFS(Daily_Totals!$G$2:$G$366,Daily_Totals!$E$2:$E$366,A53)</f>
        <v>97489.73</v>
      </c>
      <c r="E53" s="7" t="n">
        <f aca="false">IFERROR(C53/(B53*300),0)</f>
        <v>0.460476190476191</v>
      </c>
      <c r="F53" s="8" t="n">
        <f aca="false">IFERROR(D53/C53,0)</f>
        <v>100.816680455016</v>
      </c>
      <c r="G53" s="8" t="n">
        <f aca="false">IFERROR(D53/(B53*300),0)</f>
        <v>46.423680952381</v>
      </c>
    </row>
    <row r="54" customFormat="false" ht="15" hidden="false" customHeight="true" outlineLevel="0" collapsed="false">
      <c r="A54" s="1" t="n">
        <v>51</v>
      </c>
      <c r="B54" s="1" t="n">
        <f aca="false">COUNTIF(Daily_Totals!$E$2:$E$366,A54)</f>
        <v>7</v>
      </c>
      <c r="C54" s="1" t="n">
        <f aca="false">SUMIFS(Daily_Totals!$F$2:$F$366,Daily_Totals!$E$2:$E$366,A54)</f>
        <v>1004</v>
      </c>
      <c r="D54" s="10" t="n">
        <f aca="false">SUMIFS(Daily_Totals!$G$2:$G$366,Daily_Totals!$E$2:$E$366,A54)</f>
        <v>101997.04</v>
      </c>
      <c r="E54" s="7" t="n">
        <f aca="false">IFERROR(C54/(B54*300),0)</f>
        <v>0.478095238095238</v>
      </c>
      <c r="F54" s="8" t="n">
        <f aca="false">IFERROR(D54/C54,0)</f>
        <v>101.590677290837</v>
      </c>
      <c r="G54" s="8" t="n">
        <f aca="false">IFERROR(D54/(B54*300),0)</f>
        <v>48.5700190476191</v>
      </c>
    </row>
    <row r="55" customFormat="false" ht="15" hidden="false" customHeight="true" outlineLevel="0" collapsed="false">
      <c r="A55" s="1" t="n">
        <v>52</v>
      </c>
      <c r="B55" s="1" t="n">
        <f aca="false">COUNTIF(Daily_Totals!$E$2:$E$366,A55)</f>
        <v>7</v>
      </c>
      <c r="C55" s="1" t="n">
        <f aca="false">SUMIFS(Daily_Totals!$F$2:$F$366,Daily_Totals!$E$2:$E$366,A55)</f>
        <v>951</v>
      </c>
      <c r="D55" s="10" t="n">
        <f aca="false">SUMIFS(Daily_Totals!$G$2:$G$366,Daily_Totals!$E$2:$E$366,A55)</f>
        <v>95242.62</v>
      </c>
      <c r="E55" s="7" t="n">
        <f aca="false">IFERROR(C55/(B55*300),0)</f>
        <v>0.452857142857143</v>
      </c>
      <c r="F55" s="8" t="n">
        <f aca="false">IFERROR(D55/C55,0)</f>
        <v>100.149968454259</v>
      </c>
      <c r="G55" s="8" t="n">
        <f aca="false">IFERROR(D55/(B55*300),0)</f>
        <v>45.3536285714286</v>
      </c>
    </row>
    <row r="56" customFormat="false" ht="15" hidden="false" customHeight="true" outlineLevel="0" collapsed="false">
      <c r="A56" s="1" t="n">
        <v>53</v>
      </c>
      <c r="B56" s="1" t="n">
        <f aca="false">COUNTIF(Daily_Totals!$E$2:$E$366,A56)</f>
        <v>3</v>
      </c>
      <c r="C56" s="1" t="n">
        <f aca="false">SUMIFS(Daily_Totals!$F$2:$F$366,Daily_Totals!$E$2:$E$366,A56)</f>
        <v>421</v>
      </c>
      <c r="D56" s="10" t="n">
        <f aca="false">SUMIFS(Daily_Totals!$G$2:$G$366,Daily_Totals!$E$2:$E$366,A56)</f>
        <v>45559.88</v>
      </c>
      <c r="E56" s="7" t="n">
        <f aca="false">IFERROR(C56/(B56*300),0)</f>
        <v>0.467777777777778</v>
      </c>
      <c r="F56" s="8" t="n">
        <f aca="false">IFERROR(D56/C56,0)</f>
        <v>108.218242280285</v>
      </c>
      <c r="G56" s="8" t="n">
        <f aca="false">IFERROR(D56/(B56*300),0)</f>
        <v>50.6220888888889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5"/>
  </cols>
  <sheetData>
    <row r="1" customFormat="false" ht="19.5" hidden="false" customHeight="true" outlineLevel="0" collapsed="false">
      <c r="A1" s="9" t="s">
        <v>443</v>
      </c>
      <c r="B1" s="9"/>
      <c r="C1" s="9"/>
      <c r="D1" s="9"/>
      <c r="E1" s="9"/>
      <c r="F1" s="9"/>
    </row>
    <row r="3" customFormat="false" ht="26.25" hidden="false" customHeight="true" outlineLevel="0" collapsed="false">
      <c r="A3" s="6" t="s">
        <v>35</v>
      </c>
      <c r="B3" s="6" t="s">
        <v>36</v>
      </c>
      <c r="C3" s="6" t="s">
        <v>444</v>
      </c>
      <c r="D3" s="6" t="s">
        <v>445</v>
      </c>
      <c r="E3" s="6" t="s">
        <v>432</v>
      </c>
      <c r="F3" s="6" t="s">
        <v>446</v>
      </c>
      <c r="G3" s="6" t="s">
        <v>447</v>
      </c>
    </row>
    <row r="4" customFormat="false" ht="15" hidden="false" customHeight="true" outlineLevel="0" collapsed="false">
      <c r="A4" s="1" t="s">
        <v>43</v>
      </c>
      <c r="B4" s="1" t="s">
        <v>44</v>
      </c>
      <c r="C4" s="1" t="n">
        <f aca="false">SUMIFS(Raw_Data!$H$2:$H$1461,Raw_Data!$F$2:$F$1461,A4)</f>
        <v>25497</v>
      </c>
      <c r="D4" s="10" t="n">
        <f aca="false">SUMIFS(Raw_Data!$I$2:$I$1461,Raw_Data!$F$2:$F$1461,A4)</f>
        <v>3007127.95</v>
      </c>
      <c r="E4" s="8" t="n">
        <f aca="false">D4/C4</f>
        <v>117.940461622936</v>
      </c>
      <c r="F4" s="7" t="n">
        <f aca="false">D4/SUM($D$4:$D$7)</f>
        <v>0.509262688555866</v>
      </c>
      <c r="G4" s="7" t="n">
        <f aca="false">C4/SUM($C$4:$C$7)</f>
        <v>0.456665412927838</v>
      </c>
    </row>
    <row r="5" customFormat="false" ht="15" hidden="false" customHeight="true" outlineLevel="0" collapsed="false">
      <c r="A5" s="1" t="s">
        <v>45</v>
      </c>
      <c r="B5" s="1" t="s">
        <v>46</v>
      </c>
      <c r="C5" s="1" t="n">
        <f aca="false">SUMIFS(Raw_Data!$H$2:$H$1461,Raw_Data!$F$2:$F$1461,A5)</f>
        <v>10487</v>
      </c>
      <c r="D5" s="10" t="n">
        <f aca="false">SUMIFS(Raw_Data!$I$2:$I$1461,Raw_Data!$F$2:$F$1461,A5)</f>
        <v>1084879.61</v>
      </c>
      <c r="E5" s="8" t="n">
        <f aca="false">D5/C5</f>
        <v>103.449948507676</v>
      </c>
      <c r="F5" s="7" t="n">
        <f aca="false">D5/SUM($D$4:$D$7)</f>
        <v>0.183726371519389</v>
      </c>
      <c r="G5" s="7" t="n">
        <f aca="false">C5/SUM($C$4:$C$7)</f>
        <v>0.187827987032758</v>
      </c>
    </row>
    <row r="6" customFormat="false" ht="15" hidden="false" customHeight="true" outlineLevel="0" collapsed="false">
      <c r="A6" s="1" t="s">
        <v>47</v>
      </c>
      <c r="B6" s="1" t="s">
        <v>48</v>
      </c>
      <c r="C6" s="1" t="n">
        <f aca="false">SUMIFS(Raw_Data!$H$2:$H$1461,Raw_Data!$F$2:$F$1461,A6)</f>
        <v>8531</v>
      </c>
      <c r="D6" s="10" t="n">
        <f aca="false">SUMIFS(Raw_Data!$I$2:$I$1461,Raw_Data!$F$2:$F$1461,A6)</f>
        <v>813459.17</v>
      </c>
      <c r="E6" s="8" t="n">
        <f aca="false">D6/C6</f>
        <v>95.3533196577189</v>
      </c>
      <c r="F6" s="7" t="n">
        <f aca="false">D6/SUM($D$4:$D$7)</f>
        <v>0.137760817242453</v>
      </c>
      <c r="G6" s="7" t="n">
        <f aca="false">C6/SUM($C$4:$C$7)</f>
        <v>0.152794942059356</v>
      </c>
    </row>
    <row r="7" customFormat="false" ht="15" hidden="false" customHeight="true" outlineLevel="0" collapsed="false">
      <c r="A7" s="1" t="s">
        <v>49</v>
      </c>
      <c r="B7" s="1" t="s">
        <v>49</v>
      </c>
      <c r="C7" s="1" t="n">
        <f aca="false">SUMIFS(Raw_Data!$H$2:$H$1461,Raw_Data!$F$2:$F$1461,A7)</f>
        <v>11318</v>
      </c>
      <c r="D7" s="10" t="n">
        <f aca="false">SUMIFS(Raw_Data!$I$2:$I$1461,Raw_Data!$F$2:$F$1461,A7)</f>
        <v>999399.3</v>
      </c>
      <c r="E7" s="8" t="n">
        <f aca="false">D7/C7</f>
        <v>88.3017582611769</v>
      </c>
      <c r="F7" s="7" t="n">
        <f aca="false">D7/SUM($D$4:$D$7)</f>
        <v>0.169250122682292</v>
      </c>
      <c r="G7" s="7" t="n">
        <f aca="false">C7/SUM($C$4:$C$7)</f>
        <v>0.202711657980048</v>
      </c>
    </row>
    <row r="8" customFormat="false" ht="15" hidden="false" customHeight="true" outlineLevel="0" collapsed="false">
      <c r="A8" s="4" t="s">
        <v>448</v>
      </c>
      <c r="C8" s="4" t="n">
        <f aca="false">SUM(C4:C7)</f>
        <v>55833</v>
      </c>
      <c r="D8" s="15" t="n">
        <f aca="false">SUM(D4:D7)</f>
        <v>5904866.03</v>
      </c>
      <c r="F8" s="16" t="n">
        <f aca="false">SUM(F4:F7)</f>
        <v>1</v>
      </c>
      <c r="G8" s="16" t="n">
        <f aca="false">SUM(G4:G7)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3"/>
  </cols>
  <sheetData>
    <row r="1" customFormat="false" ht="19.5" hidden="false" customHeight="true" outlineLevel="0" collapsed="false">
      <c r="A1" s="9" t="s">
        <v>449</v>
      </c>
      <c r="B1" s="9"/>
      <c r="C1" s="9"/>
      <c r="D1" s="9"/>
    </row>
    <row r="3" customFormat="false" ht="26.25" hidden="false" customHeight="true" outlineLevel="0" collapsed="false">
      <c r="A3" s="6" t="s">
        <v>450</v>
      </c>
      <c r="B3" s="6" t="s">
        <v>451</v>
      </c>
      <c r="C3" s="6" t="s">
        <v>452</v>
      </c>
      <c r="D3" s="6" t="s">
        <v>453</v>
      </c>
    </row>
    <row r="4" customFormat="false" ht="15" hidden="false" customHeight="true" outlineLevel="0" collapsed="false">
      <c r="A4" s="1" t="s">
        <v>59</v>
      </c>
      <c r="B4" s="7" t="n">
        <f aca="false">AVERAGEIF(Daily_Totals!$B$2:$B$366,A4,Daily_Totals!$I$2:$I$366)</f>
        <v>0.551730769230769</v>
      </c>
      <c r="C4" s="8" t="n">
        <f aca="false">AVERAGEIF(Daily_Totals!$B$2:$B$366,A4,Daily_Totals!$J$2:$J$366)</f>
        <v>106.985047050322</v>
      </c>
      <c r="D4" s="8" t="n">
        <f aca="false">AVERAGEIF(Daily_Totals!$B$2:$B$366,A4,Daily_Totals!$K$2:$K$366)</f>
        <v>59.3843230769231</v>
      </c>
    </row>
    <row r="5" customFormat="false" ht="15" hidden="false" customHeight="true" outlineLevel="0" collapsed="false">
      <c r="A5" s="1" t="s">
        <v>61</v>
      </c>
      <c r="B5" s="7" t="n">
        <f aca="false">AVERAGEIF(Daily_Totals!$B$2:$B$366,A5,Daily_Totals!$I$2:$I$366)</f>
        <v>0.556602564102564</v>
      </c>
      <c r="C5" s="8" t="n">
        <f aca="false">AVERAGEIF(Daily_Totals!$B$2:$B$366,A5,Daily_Totals!$J$2:$J$366)</f>
        <v>106.255303563059</v>
      </c>
      <c r="D5" s="8" t="n">
        <f aca="false">AVERAGEIF(Daily_Totals!$B$2:$B$366,A5,Daily_Totals!$K$2:$K$366)</f>
        <v>59.5780326923077</v>
      </c>
    </row>
    <row r="6" customFormat="false" ht="15" hidden="false" customHeight="true" outlineLevel="0" collapsed="false">
      <c r="A6" s="1" t="s">
        <v>41</v>
      </c>
      <c r="B6" s="7" t="n">
        <f aca="false">AVERAGEIF(Daily_Totals!$B$2:$B$366,A6,Daily_Totals!$I$2:$I$366)</f>
        <v>0.551069182389937</v>
      </c>
      <c r="C6" s="8" t="n">
        <f aca="false">AVERAGEIF(Daily_Totals!$B$2:$B$366,A6,Daily_Totals!$J$2:$J$366)</f>
        <v>107.413844713211</v>
      </c>
      <c r="D6" s="8" t="n">
        <f aca="false">AVERAGEIF(Daily_Totals!$B$2:$B$366,A6,Daily_Totals!$K$2:$K$366)</f>
        <v>59.6122943396226</v>
      </c>
    </row>
    <row r="7" customFormat="false" ht="15" hidden="false" customHeight="true" outlineLevel="0" collapsed="false">
      <c r="A7" s="1" t="s">
        <v>51</v>
      </c>
      <c r="B7" s="7" t="n">
        <f aca="false">AVERAGEIF(Daily_Totals!$B$2:$B$366,A7,Daily_Totals!$I$2:$I$366)</f>
        <v>0.554230769230769</v>
      </c>
      <c r="C7" s="8" t="n">
        <f aca="false">AVERAGEIF(Daily_Totals!$B$2:$B$366,A7,Daily_Totals!$J$2:$J$366)</f>
        <v>106.485238546449</v>
      </c>
      <c r="D7" s="8" t="n">
        <f aca="false">AVERAGEIF(Daily_Totals!$B$2:$B$366,A7,Daily_Totals!$K$2:$K$366)</f>
        <v>59.4359128205128</v>
      </c>
    </row>
    <row r="8" customFormat="false" ht="15" hidden="false" customHeight="true" outlineLevel="0" collapsed="false">
      <c r="A8" s="1" t="s">
        <v>53</v>
      </c>
      <c r="B8" s="7" t="n">
        <f aca="false">AVERAGEIF(Daily_Totals!$B$2:$B$366,A8,Daily_Totals!$I$2:$I$366)</f>
        <v>0.549551282051282</v>
      </c>
      <c r="C8" s="8" t="n">
        <f aca="false">AVERAGEIF(Daily_Totals!$B$2:$B$366,A8,Daily_Totals!$J$2:$J$366)</f>
        <v>106.401124087127</v>
      </c>
      <c r="D8" s="8" t="n">
        <f aca="false">AVERAGEIF(Daily_Totals!$B$2:$B$366,A8,Daily_Totals!$K$2:$K$366)</f>
        <v>58.9847903846154</v>
      </c>
    </row>
    <row r="9" customFormat="false" ht="15" hidden="false" customHeight="true" outlineLevel="0" collapsed="false">
      <c r="A9" s="1" t="s">
        <v>55</v>
      </c>
      <c r="B9" s="7" t="n">
        <f aca="false">AVERAGEIF(Daily_Totals!$B$2:$B$366,A9,Daily_Totals!$I$2:$I$366)</f>
        <v>0.399679487179487</v>
      </c>
      <c r="C9" s="8" t="n">
        <f aca="false">AVERAGEIF(Daily_Totals!$B$2:$B$366,A9,Daily_Totals!$J$2:$J$366)</f>
        <v>98.434965372027</v>
      </c>
      <c r="D9" s="8" t="n">
        <f aca="false">AVERAGEIF(Daily_Totals!$B$2:$B$366,A9,Daily_Totals!$K$2:$K$366)</f>
        <v>39.5915705128205</v>
      </c>
    </row>
    <row r="10" customFormat="false" ht="15" hidden="false" customHeight="true" outlineLevel="0" collapsed="false">
      <c r="A10" s="1" t="s">
        <v>57</v>
      </c>
      <c r="B10" s="7" t="n">
        <f aca="false">AVERAGEIF(Daily_Totals!$B$2:$B$366,A10,Daily_Totals!$I$2:$I$366)</f>
        <v>0.405576923076923</v>
      </c>
      <c r="C10" s="8" t="n">
        <f aca="false">AVERAGEIF(Daily_Totals!$B$2:$B$366,A10,Daily_Totals!$J$2:$J$366)</f>
        <v>99.8959629545575</v>
      </c>
      <c r="D10" s="8" t="n">
        <f aca="false">AVERAGEIF(Daily_Totals!$B$2:$B$366,A10,Daily_Totals!$K$2:$K$366)</f>
        <v>40.7837391025641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3"/>
  </cols>
  <sheetData>
    <row r="1" customFormat="false" ht="19.5" hidden="false" customHeight="true" outlineLevel="0" collapsed="false">
      <c r="A1" s="9" t="s">
        <v>454</v>
      </c>
      <c r="B1" s="9"/>
      <c r="C1" s="9"/>
      <c r="D1" s="9"/>
      <c r="E1" s="9"/>
    </row>
    <row r="2" customFormat="false" ht="15" hidden="false" customHeight="true" outlineLevel="0" collapsed="false">
      <c r="A2" s="17" t="s">
        <v>455</v>
      </c>
      <c r="B2" s="17"/>
      <c r="C2" s="17"/>
      <c r="D2" s="17"/>
      <c r="E2" s="17"/>
    </row>
    <row r="4" customFormat="false" ht="26.25" hidden="false" customHeight="true" outlineLevel="0" collapsed="false">
      <c r="A4" s="6" t="s">
        <v>456</v>
      </c>
      <c r="B4" s="6" t="s">
        <v>438</v>
      </c>
      <c r="C4" s="6" t="s">
        <v>432</v>
      </c>
      <c r="D4" s="6" t="s">
        <v>433</v>
      </c>
    </row>
    <row r="5" customFormat="false" ht="15" hidden="false" customHeight="true" outlineLevel="0" collapsed="false">
      <c r="A5" s="4" t="s">
        <v>457</v>
      </c>
      <c r="B5" s="7" t="n">
        <f aca="false">KPI_Summary!E16</f>
        <v>0.509890410958904</v>
      </c>
      <c r="C5" s="8" t="n">
        <f aca="false">KPI_Summary!F16</f>
        <v>105.759425966722</v>
      </c>
      <c r="D5" s="8" t="n">
        <f aca="false">KPI_Summary!G16</f>
        <v>53.9257171689498</v>
      </c>
    </row>
    <row r="6" customFormat="false" ht="15" hidden="false" customHeight="true" outlineLevel="0" collapsed="false">
      <c r="A6" s="18" t="s">
        <v>458</v>
      </c>
      <c r="B6" s="19" t="n">
        <v>0.552</v>
      </c>
      <c r="C6" s="20" t="n">
        <v>110</v>
      </c>
      <c r="D6" s="8" t="n">
        <f aca="false">B6*C6</f>
        <v>60.72</v>
      </c>
    </row>
    <row r="7" customFormat="false" ht="15" hidden="false" customHeight="true" outlineLevel="0" collapsed="false">
      <c r="A7" s="18" t="s">
        <v>459</v>
      </c>
      <c r="B7" s="19" t="n">
        <v>0.478</v>
      </c>
      <c r="C7" s="20" t="n">
        <v>99</v>
      </c>
      <c r="D7" s="8" t="n">
        <f aca="false">B7*C7</f>
        <v>47.322</v>
      </c>
    </row>
    <row r="8" customFormat="false" ht="15" hidden="false" customHeight="true" outlineLevel="0" collapsed="false">
      <c r="A8" s="18" t="s">
        <v>460</v>
      </c>
      <c r="B8" s="19" t="n">
        <v>0.531</v>
      </c>
      <c r="C8" s="20" t="n">
        <v>102</v>
      </c>
      <c r="D8" s="8" t="n">
        <f aca="false">B8*C8</f>
        <v>54.162</v>
      </c>
    </row>
    <row r="9" customFormat="false" ht="15" hidden="false" customHeight="true" outlineLevel="0" collapsed="false">
      <c r="A9" s="4" t="s">
        <v>461</v>
      </c>
      <c r="B9" s="16" t="n">
        <f aca="false">AVERAGE(B6:B8)</f>
        <v>0.520333333333333</v>
      </c>
      <c r="C9" s="21" t="n">
        <f aca="false">AVERAGE(C6:C8)</f>
        <v>103.666666666667</v>
      </c>
      <c r="D9" s="21" t="n">
        <f aca="false">AVERAGE(D6:D8)</f>
        <v>54.068</v>
      </c>
    </row>
    <row r="11" customFormat="false" ht="15" hidden="false" customHeight="true" outlineLevel="0" collapsed="false">
      <c r="A11" s="4" t="s">
        <v>462</v>
      </c>
      <c r="B11" s="4" t="s">
        <v>463</v>
      </c>
    </row>
    <row r="12" customFormat="false" ht="15" hidden="false" customHeight="true" outlineLevel="0" collapsed="false">
      <c r="A12" s="1" t="s">
        <v>464</v>
      </c>
      <c r="B12" s="22" t="n">
        <f aca="false">B5/B9*100</f>
        <v>97.993032215036</v>
      </c>
    </row>
    <row r="13" customFormat="false" ht="15" hidden="false" customHeight="true" outlineLevel="0" collapsed="false">
      <c r="A13" s="1" t="s">
        <v>465</v>
      </c>
      <c r="B13" s="22" t="n">
        <f aca="false">C5/C9*100</f>
        <v>102.018738874652</v>
      </c>
    </row>
    <row r="14" customFormat="false" ht="15" hidden="false" customHeight="true" outlineLevel="0" collapsed="false">
      <c r="A14" s="1" t="s">
        <v>466</v>
      </c>
      <c r="B14" s="22" t="n">
        <f aca="false">D5/D9*100</f>
        <v>99.7368446566357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3"/>
  </cols>
  <sheetData>
    <row r="1" customFormat="false" ht="26.25" hidden="false" customHeight="true" outlineLevel="0" collapsed="false">
      <c r="A1" s="6" t="s">
        <v>467</v>
      </c>
      <c r="B1" s="6" t="s">
        <v>33</v>
      </c>
      <c r="C1" s="6" t="s">
        <v>35</v>
      </c>
      <c r="D1" s="6" t="s">
        <v>468</v>
      </c>
      <c r="E1" s="6" t="s">
        <v>469</v>
      </c>
    </row>
    <row r="2" customFormat="false" ht="15" hidden="false" customHeight="true" outlineLevel="0" collapsed="false">
      <c r="A2" s="1" t="s">
        <v>42</v>
      </c>
      <c r="B2" s="1" t="n">
        <v>1</v>
      </c>
      <c r="C2" s="1" t="s">
        <v>43</v>
      </c>
      <c r="D2" s="1" t="n">
        <v>0</v>
      </c>
      <c r="E2" s="1" t="n">
        <v>251</v>
      </c>
    </row>
    <row r="3" customFormat="false" ht="15" hidden="false" customHeight="true" outlineLevel="0" collapsed="false">
      <c r="A3" s="1" t="s">
        <v>42</v>
      </c>
      <c r="B3" s="1" t="n">
        <v>1</v>
      </c>
      <c r="C3" s="1" t="s">
        <v>43</v>
      </c>
      <c r="D3" s="1" t="n">
        <v>3</v>
      </c>
      <c r="E3" s="1" t="n">
        <v>418</v>
      </c>
    </row>
    <row r="4" customFormat="false" ht="15" hidden="false" customHeight="true" outlineLevel="0" collapsed="false">
      <c r="A4" s="1" t="s">
        <v>42</v>
      </c>
      <c r="B4" s="1" t="n">
        <v>1</v>
      </c>
      <c r="C4" s="1" t="s">
        <v>43</v>
      </c>
      <c r="D4" s="1" t="n">
        <v>7</v>
      </c>
      <c r="E4" s="1" t="n">
        <v>419</v>
      </c>
    </row>
    <row r="5" customFormat="false" ht="15" hidden="false" customHeight="true" outlineLevel="0" collapsed="false">
      <c r="A5" s="1" t="s">
        <v>42</v>
      </c>
      <c r="B5" s="1" t="n">
        <v>1</v>
      </c>
      <c r="C5" s="1" t="s">
        <v>43</v>
      </c>
      <c r="D5" s="1" t="n">
        <v>14</v>
      </c>
      <c r="E5" s="1" t="n">
        <v>330</v>
      </c>
    </row>
    <row r="6" customFormat="false" ht="15" hidden="false" customHeight="true" outlineLevel="0" collapsed="false">
      <c r="A6" s="1" t="s">
        <v>42</v>
      </c>
      <c r="B6" s="1" t="n">
        <v>1</v>
      </c>
      <c r="C6" s="1" t="s">
        <v>43</v>
      </c>
      <c r="D6" s="1" t="n">
        <v>21</v>
      </c>
      <c r="E6" s="1" t="n">
        <v>165</v>
      </c>
    </row>
    <row r="7" customFormat="false" ht="15" hidden="false" customHeight="true" outlineLevel="0" collapsed="false">
      <c r="A7" s="1" t="s">
        <v>42</v>
      </c>
      <c r="B7" s="1" t="n">
        <v>1</v>
      </c>
      <c r="C7" s="1" t="s">
        <v>43</v>
      </c>
      <c r="D7" s="1" t="n">
        <v>30</v>
      </c>
      <c r="E7" s="1" t="n">
        <v>84</v>
      </c>
    </row>
    <row r="8" customFormat="false" ht="15" hidden="false" customHeight="true" outlineLevel="0" collapsed="false">
      <c r="A8" s="1" t="s">
        <v>42</v>
      </c>
      <c r="B8" s="1" t="n">
        <v>1</v>
      </c>
      <c r="C8" s="1" t="s">
        <v>47</v>
      </c>
      <c r="D8" s="1" t="n">
        <v>30</v>
      </c>
      <c r="E8" s="1" t="n">
        <v>54</v>
      </c>
    </row>
    <row r="9" customFormat="false" ht="15" hidden="false" customHeight="true" outlineLevel="0" collapsed="false">
      <c r="A9" s="1" t="s">
        <v>42</v>
      </c>
      <c r="B9" s="1" t="n">
        <v>1</v>
      </c>
      <c r="C9" s="1" t="s">
        <v>47</v>
      </c>
      <c r="D9" s="1" t="n">
        <v>60</v>
      </c>
      <c r="E9" s="1" t="n">
        <v>111</v>
      </c>
    </row>
    <row r="10" customFormat="false" ht="15" hidden="false" customHeight="true" outlineLevel="0" collapsed="false">
      <c r="A10" s="1" t="s">
        <v>42</v>
      </c>
      <c r="B10" s="1" t="n">
        <v>1</v>
      </c>
      <c r="C10" s="1" t="s">
        <v>47</v>
      </c>
      <c r="D10" s="1" t="n">
        <v>90</v>
      </c>
      <c r="E10" s="1" t="n">
        <v>134</v>
      </c>
    </row>
    <row r="11" customFormat="false" ht="15" hidden="false" customHeight="true" outlineLevel="0" collapsed="false">
      <c r="A11" s="1" t="s">
        <v>42</v>
      </c>
      <c r="B11" s="1" t="n">
        <v>1</v>
      </c>
      <c r="C11" s="1" t="s">
        <v>47</v>
      </c>
      <c r="D11" s="1" t="n">
        <v>120</v>
      </c>
      <c r="E11" s="1" t="n">
        <v>137</v>
      </c>
    </row>
    <row r="12" customFormat="false" ht="15" hidden="false" customHeight="true" outlineLevel="0" collapsed="false">
      <c r="A12" s="1" t="s">
        <v>42</v>
      </c>
      <c r="B12" s="1" t="n">
        <v>1</v>
      </c>
      <c r="C12" s="1" t="s">
        <v>47</v>
      </c>
      <c r="D12" s="1" t="n">
        <v>180</v>
      </c>
      <c r="E12" s="1" t="n">
        <v>109</v>
      </c>
    </row>
    <row r="13" customFormat="false" ht="15" hidden="false" customHeight="true" outlineLevel="0" collapsed="false">
      <c r="A13" s="1" t="s">
        <v>42</v>
      </c>
      <c r="B13" s="1" t="n">
        <v>1</v>
      </c>
      <c r="C13" s="1" t="s">
        <v>45</v>
      </c>
      <c r="D13" s="1" t="n">
        <v>7</v>
      </c>
      <c r="E13" s="1" t="n">
        <v>32</v>
      </c>
    </row>
    <row r="14" customFormat="false" ht="15" hidden="false" customHeight="true" outlineLevel="0" collapsed="false">
      <c r="A14" s="1" t="s">
        <v>42</v>
      </c>
      <c r="B14" s="1" t="n">
        <v>1</v>
      </c>
      <c r="C14" s="1" t="s">
        <v>45</v>
      </c>
      <c r="D14" s="1" t="n">
        <v>14</v>
      </c>
      <c r="E14" s="1" t="n">
        <v>65</v>
      </c>
    </row>
    <row r="15" customFormat="false" ht="15" hidden="false" customHeight="true" outlineLevel="0" collapsed="false">
      <c r="A15" s="1" t="s">
        <v>42</v>
      </c>
      <c r="B15" s="1" t="n">
        <v>1</v>
      </c>
      <c r="C15" s="1" t="s">
        <v>45</v>
      </c>
      <c r="D15" s="1" t="n">
        <v>30</v>
      </c>
      <c r="E15" s="1" t="n">
        <v>132</v>
      </c>
    </row>
    <row r="16" customFormat="false" ht="15" hidden="false" customHeight="true" outlineLevel="0" collapsed="false">
      <c r="A16" s="1" t="s">
        <v>42</v>
      </c>
      <c r="B16" s="1" t="n">
        <v>1</v>
      </c>
      <c r="C16" s="1" t="s">
        <v>45</v>
      </c>
      <c r="D16" s="1" t="n">
        <v>45</v>
      </c>
      <c r="E16" s="1" t="n">
        <v>164</v>
      </c>
    </row>
    <row r="17" customFormat="false" ht="15" hidden="false" customHeight="true" outlineLevel="0" collapsed="false">
      <c r="A17" s="1" t="s">
        <v>42</v>
      </c>
      <c r="B17" s="1" t="n">
        <v>1</v>
      </c>
      <c r="C17" s="1" t="s">
        <v>45</v>
      </c>
      <c r="D17" s="1" t="n">
        <v>60</v>
      </c>
      <c r="E17" s="1" t="n">
        <v>164</v>
      </c>
    </row>
    <row r="18" customFormat="false" ht="15" hidden="false" customHeight="true" outlineLevel="0" collapsed="false">
      <c r="A18" s="1" t="s">
        <v>42</v>
      </c>
      <c r="B18" s="1" t="n">
        <v>1</v>
      </c>
      <c r="C18" s="1" t="s">
        <v>45</v>
      </c>
      <c r="D18" s="1" t="n">
        <v>90</v>
      </c>
      <c r="E18" s="1" t="n">
        <v>97</v>
      </c>
    </row>
    <row r="19" customFormat="false" ht="15" hidden="false" customHeight="true" outlineLevel="0" collapsed="false">
      <c r="A19" s="1" t="s">
        <v>42</v>
      </c>
      <c r="B19" s="1" t="n">
        <v>1</v>
      </c>
      <c r="C19" s="1" t="s">
        <v>49</v>
      </c>
      <c r="D19" s="1" t="n">
        <v>0</v>
      </c>
      <c r="E19" s="1" t="n">
        <v>213</v>
      </c>
    </row>
    <row r="20" customFormat="false" ht="15" hidden="false" customHeight="true" outlineLevel="0" collapsed="false">
      <c r="A20" s="1" t="s">
        <v>42</v>
      </c>
      <c r="B20" s="1" t="n">
        <v>1</v>
      </c>
      <c r="C20" s="1" t="s">
        <v>49</v>
      </c>
      <c r="D20" s="1" t="n">
        <v>3</v>
      </c>
      <c r="E20" s="1" t="n">
        <v>177</v>
      </c>
    </row>
    <row r="21" customFormat="false" ht="15" hidden="false" customHeight="true" outlineLevel="0" collapsed="false">
      <c r="A21" s="1" t="s">
        <v>42</v>
      </c>
      <c r="B21" s="1" t="n">
        <v>1</v>
      </c>
      <c r="C21" s="1" t="s">
        <v>49</v>
      </c>
      <c r="D21" s="1" t="n">
        <v>7</v>
      </c>
      <c r="E21" s="1" t="n">
        <v>138</v>
      </c>
    </row>
    <row r="22" customFormat="false" ht="15" hidden="false" customHeight="true" outlineLevel="0" collapsed="false">
      <c r="A22" s="1" t="s">
        <v>42</v>
      </c>
      <c r="B22" s="1" t="n">
        <v>1</v>
      </c>
      <c r="C22" s="1" t="s">
        <v>49</v>
      </c>
      <c r="D22" s="1" t="n">
        <v>14</v>
      </c>
      <c r="E22" s="1" t="n">
        <v>104</v>
      </c>
    </row>
    <row r="23" customFormat="false" ht="15" hidden="false" customHeight="true" outlineLevel="0" collapsed="false">
      <c r="A23" s="1" t="s">
        <v>42</v>
      </c>
      <c r="B23" s="1" t="n">
        <v>1</v>
      </c>
      <c r="C23" s="1" t="s">
        <v>49</v>
      </c>
      <c r="D23" s="1" t="n">
        <v>21</v>
      </c>
      <c r="E23" s="1" t="n">
        <v>69</v>
      </c>
    </row>
    <row r="24" customFormat="false" ht="15" hidden="false" customHeight="true" outlineLevel="0" collapsed="false">
      <c r="A24" s="1" t="s">
        <v>87</v>
      </c>
      <c r="B24" s="1" t="n">
        <v>2</v>
      </c>
      <c r="C24" s="1" t="s">
        <v>43</v>
      </c>
      <c r="D24" s="1" t="n">
        <v>0</v>
      </c>
      <c r="E24" s="1" t="n">
        <v>264</v>
      </c>
    </row>
    <row r="25" customFormat="false" ht="15" hidden="false" customHeight="true" outlineLevel="0" collapsed="false">
      <c r="A25" s="1" t="s">
        <v>87</v>
      </c>
      <c r="B25" s="1" t="n">
        <v>2</v>
      </c>
      <c r="C25" s="1" t="s">
        <v>43</v>
      </c>
      <c r="D25" s="1" t="n">
        <v>3</v>
      </c>
      <c r="E25" s="1" t="n">
        <v>434</v>
      </c>
    </row>
    <row r="26" customFormat="false" ht="15" hidden="false" customHeight="true" outlineLevel="0" collapsed="false">
      <c r="A26" s="1" t="s">
        <v>87</v>
      </c>
      <c r="B26" s="1" t="n">
        <v>2</v>
      </c>
      <c r="C26" s="1" t="s">
        <v>43</v>
      </c>
      <c r="D26" s="1" t="n">
        <v>7</v>
      </c>
      <c r="E26" s="1" t="n">
        <v>438</v>
      </c>
    </row>
    <row r="27" customFormat="false" ht="15" hidden="false" customHeight="true" outlineLevel="0" collapsed="false">
      <c r="A27" s="1" t="s">
        <v>87</v>
      </c>
      <c r="B27" s="1" t="n">
        <v>2</v>
      </c>
      <c r="C27" s="1" t="s">
        <v>43</v>
      </c>
      <c r="D27" s="1" t="n">
        <v>14</v>
      </c>
      <c r="E27" s="1" t="n">
        <v>351</v>
      </c>
    </row>
    <row r="28" customFormat="false" ht="15" hidden="false" customHeight="true" outlineLevel="0" collapsed="false">
      <c r="A28" s="1" t="s">
        <v>87</v>
      </c>
      <c r="B28" s="1" t="n">
        <v>2</v>
      </c>
      <c r="C28" s="1" t="s">
        <v>43</v>
      </c>
      <c r="D28" s="1" t="n">
        <v>21</v>
      </c>
      <c r="E28" s="1" t="n">
        <v>175</v>
      </c>
    </row>
    <row r="29" customFormat="false" ht="15" hidden="false" customHeight="true" outlineLevel="0" collapsed="false">
      <c r="A29" s="1" t="s">
        <v>87</v>
      </c>
      <c r="B29" s="1" t="n">
        <v>2</v>
      </c>
      <c r="C29" s="1" t="s">
        <v>43</v>
      </c>
      <c r="D29" s="1" t="n">
        <v>30</v>
      </c>
      <c r="E29" s="1" t="n">
        <v>87</v>
      </c>
    </row>
    <row r="30" customFormat="false" ht="15" hidden="false" customHeight="true" outlineLevel="0" collapsed="false">
      <c r="A30" s="1" t="s">
        <v>87</v>
      </c>
      <c r="B30" s="1" t="n">
        <v>2</v>
      </c>
      <c r="C30" s="1" t="s">
        <v>47</v>
      </c>
      <c r="D30" s="1" t="n">
        <v>30</v>
      </c>
      <c r="E30" s="1" t="n">
        <v>57</v>
      </c>
    </row>
    <row r="31" customFormat="false" ht="15" hidden="false" customHeight="true" outlineLevel="0" collapsed="false">
      <c r="A31" s="1" t="s">
        <v>87</v>
      </c>
      <c r="B31" s="1" t="n">
        <v>2</v>
      </c>
      <c r="C31" s="1" t="s">
        <v>47</v>
      </c>
      <c r="D31" s="1" t="n">
        <v>60</v>
      </c>
      <c r="E31" s="1" t="n">
        <v>114</v>
      </c>
    </row>
    <row r="32" customFormat="false" ht="15" hidden="false" customHeight="true" outlineLevel="0" collapsed="false">
      <c r="A32" s="1" t="s">
        <v>87</v>
      </c>
      <c r="B32" s="1" t="n">
        <v>2</v>
      </c>
      <c r="C32" s="1" t="s">
        <v>47</v>
      </c>
      <c r="D32" s="1" t="n">
        <v>90</v>
      </c>
      <c r="E32" s="1" t="n">
        <v>145</v>
      </c>
    </row>
    <row r="33" customFormat="false" ht="15" hidden="false" customHeight="true" outlineLevel="0" collapsed="false">
      <c r="A33" s="1" t="s">
        <v>87</v>
      </c>
      <c r="B33" s="1" t="n">
        <v>2</v>
      </c>
      <c r="C33" s="1" t="s">
        <v>47</v>
      </c>
      <c r="D33" s="1" t="n">
        <v>120</v>
      </c>
      <c r="E33" s="1" t="n">
        <v>143</v>
      </c>
    </row>
    <row r="34" customFormat="false" ht="15" hidden="false" customHeight="true" outlineLevel="0" collapsed="false">
      <c r="A34" s="1" t="s">
        <v>87</v>
      </c>
      <c r="B34" s="1" t="n">
        <v>2</v>
      </c>
      <c r="C34" s="1" t="s">
        <v>47</v>
      </c>
      <c r="D34" s="1" t="n">
        <v>180</v>
      </c>
      <c r="E34" s="1" t="n">
        <v>116</v>
      </c>
    </row>
    <row r="35" customFormat="false" ht="15" hidden="false" customHeight="true" outlineLevel="0" collapsed="false">
      <c r="A35" s="1" t="s">
        <v>87</v>
      </c>
      <c r="B35" s="1" t="n">
        <v>2</v>
      </c>
      <c r="C35" s="1" t="s">
        <v>45</v>
      </c>
      <c r="D35" s="1" t="n">
        <v>7</v>
      </c>
      <c r="E35" s="1" t="n">
        <v>36</v>
      </c>
    </row>
    <row r="36" customFormat="false" ht="15" hidden="false" customHeight="true" outlineLevel="0" collapsed="false">
      <c r="A36" s="1" t="s">
        <v>87</v>
      </c>
      <c r="B36" s="1" t="n">
        <v>2</v>
      </c>
      <c r="C36" s="1" t="s">
        <v>45</v>
      </c>
      <c r="D36" s="1" t="n">
        <v>14</v>
      </c>
      <c r="E36" s="1" t="n">
        <v>72</v>
      </c>
    </row>
    <row r="37" customFormat="false" ht="15" hidden="false" customHeight="true" outlineLevel="0" collapsed="false">
      <c r="A37" s="1" t="s">
        <v>87</v>
      </c>
      <c r="B37" s="1" t="n">
        <v>2</v>
      </c>
      <c r="C37" s="1" t="s">
        <v>45</v>
      </c>
      <c r="D37" s="1" t="n">
        <v>30</v>
      </c>
      <c r="E37" s="1" t="n">
        <v>147</v>
      </c>
    </row>
    <row r="38" customFormat="false" ht="15" hidden="false" customHeight="true" outlineLevel="0" collapsed="false">
      <c r="A38" s="1" t="s">
        <v>87</v>
      </c>
      <c r="B38" s="1" t="n">
        <v>2</v>
      </c>
      <c r="C38" s="1" t="s">
        <v>45</v>
      </c>
      <c r="D38" s="1" t="n">
        <v>45</v>
      </c>
      <c r="E38" s="1" t="n">
        <v>182</v>
      </c>
    </row>
    <row r="39" customFormat="false" ht="15" hidden="false" customHeight="true" outlineLevel="0" collapsed="false">
      <c r="A39" s="1" t="s">
        <v>87</v>
      </c>
      <c r="B39" s="1" t="n">
        <v>2</v>
      </c>
      <c r="C39" s="1" t="s">
        <v>45</v>
      </c>
      <c r="D39" s="1" t="n">
        <v>60</v>
      </c>
      <c r="E39" s="1" t="n">
        <v>183</v>
      </c>
    </row>
    <row r="40" customFormat="false" ht="15" hidden="false" customHeight="true" outlineLevel="0" collapsed="false">
      <c r="A40" s="1" t="s">
        <v>87</v>
      </c>
      <c r="B40" s="1" t="n">
        <v>2</v>
      </c>
      <c r="C40" s="1" t="s">
        <v>45</v>
      </c>
      <c r="D40" s="1" t="n">
        <v>90</v>
      </c>
      <c r="E40" s="1" t="n">
        <v>109</v>
      </c>
    </row>
    <row r="41" customFormat="false" ht="15" hidden="false" customHeight="true" outlineLevel="0" collapsed="false">
      <c r="A41" s="1" t="s">
        <v>87</v>
      </c>
      <c r="B41" s="1" t="n">
        <v>2</v>
      </c>
      <c r="C41" s="1" t="s">
        <v>49</v>
      </c>
      <c r="D41" s="1" t="n">
        <v>0</v>
      </c>
      <c r="E41" s="1" t="n">
        <v>223</v>
      </c>
    </row>
    <row r="42" customFormat="false" ht="15" hidden="false" customHeight="true" outlineLevel="0" collapsed="false">
      <c r="A42" s="1" t="s">
        <v>87</v>
      </c>
      <c r="B42" s="1" t="n">
        <v>2</v>
      </c>
      <c r="C42" s="1" t="s">
        <v>49</v>
      </c>
      <c r="D42" s="1" t="n">
        <v>3</v>
      </c>
      <c r="E42" s="1" t="n">
        <v>189</v>
      </c>
    </row>
    <row r="43" customFormat="false" ht="15" hidden="false" customHeight="true" outlineLevel="0" collapsed="false">
      <c r="A43" s="1" t="s">
        <v>87</v>
      </c>
      <c r="B43" s="1" t="n">
        <v>2</v>
      </c>
      <c r="C43" s="1" t="s">
        <v>49</v>
      </c>
      <c r="D43" s="1" t="n">
        <v>7</v>
      </c>
      <c r="E43" s="1" t="n">
        <v>149</v>
      </c>
    </row>
    <row r="44" customFormat="false" ht="15" hidden="false" customHeight="true" outlineLevel="0" collapsed="false">
      <c r="A44" s="1" t="s">
        <v>87</v>
      </c>
      <c r="B44" s="1" t="n">
        <v>2</v>
      </c>
      <c r="C44" s="1" t="s">
        <v>49</v>
      </c>
      <c r="D44" s="1" t="n">
        <v>14</v>
      </c>
      <c r="E44" s="1" t="n">
        <v>112</v>
      </c>
    </row>
    <row r="45" customFormat="false" ht="15" hidden="false" customHeight="true" outlineLevel="0" collapsed="false">
      <c r="A45" s="1" t="s">
        <v>87</v>
      </c>
      <c r="B45" s="1" t="n">
        <v>2</v>
      </c>
      <c r="C45" s="1" t="s">
        <v>49</v>
      </c>
      <c r="D45" s="1" t="n">
        <v>21</v>
      </c>
      <c r="E45" s="1" t="n">
        <v>75</v>
      </c>
    </row>
    <row r="46" customFormat="false" ht="15" hidden="false" customHeight="true" outlineLevel="0" collapsed="false">
      <c r="A46" s="1" t="s">
        <v>116</v>
      </c>
      <c r="B46" s="1" t="n">
        <v>3</v>
      </c>
      <c r="C46" s="1" t="s">
        <v>43</v>
      </c>
      <c r="D46" s="1" t="n">
        <v>0</v>
      </c>
      <c r="E46" s="1" t="n">
        <v>327</v>
      </c>
    </row>
    <row r="47" customFormat="false" ht="15" hidden="false" customHeight="true" outlineLevel="0" collapsed="false">
      <c r="A47" s="1" t="s">
        <v>116</v>
      </c>
      <c r="B47" s="1" t="n">
        <v>3</v>
      </c>
      <c r="C47" s="1" t="s">
        <v>43</v>
      </c>
      <c r="D47" s="1" t="n">
        <v>3</v>
      </c>
      <c r="E47" s="1" t="n">
        <v>537</v>
      </c>
    </row>
    <row r="48" customFormat="false" ht="15" hidden="false" customHeight="true" outlineLevel="0" collapsed="false">
      <c r="A48" s="1" t="s">
        <v>116</v>
      </c>
      <c r="B48" s="1" t="n">
        <v>3</v>
      </c>
      <c r="C48" s="1" t="s">
        <v>43</v>
      </c>
      <c r="D48" s="1" t="n">
        <v>7</v>
      </c>
      <c r="E48" s="1" t="n">
        <v>546</v>
      </c>
    </row>
    <row r="49" customFormat="false" ht="15" hidden="false" customHeight="true" outlineLevel="0" collapsed="false">
      <c r="A49" s="1" t="s">
        <v>116</v>
      </c>
      <c r="B49" s="1" t="n">
        <v>3</v>
      </c>
      <c r="C49" s="1" t="s">
        <v>43</v>
      </c>
      <c r="D49" s="1" t="n">
        <v>14</v>
      </c>
      <c r="E49" s="1" t="n">
        <v>425</v>
      </c>
    </row>
    <row r="50" customFormat="false" ht="15" hidden="false" customHeight="true" outlineLevel="0" collapsed="false">
      <c r="A50" s="1" t="s">
        <v>116</v>
      </c>
      <c r="B50" s="1" t="n">
        <v>3</v>
      </c>
      <c r="C50" s="1" t="s">
        <v>43</v>
      </c>
      <c r="D50" s="1" t="n">
        <v>21</v>
      </c>
      <c r="E50" s="1" t="n">
        <v>222</v>
      </c>
    </row>
    <row r="51" customFormat="false" ht="15" hidden="false" customHeight="true" outlineLevel="0" collapsed="false">
      <c r="A51" s="1" t="s">
        <v>116</v>
      </c>
      <c r="B51" s="1" t="n">
        <v>3</v>
      </c>
      <c r="C51" s="1" t="s">
        <v>43</v>
      </c>
      <c r="D51" s="1" t="n">
        <v>30</v>
      </c>
      <c r="E51" s="1" t="n">
        <v>107</v>
      </c>
    </row>
    <row r="52" customFormat="false" ht="15" hidden="false" customHeight="true" outlineLevel="0" collapsed="false">
      <c r="A52" s="1" t="s">
        <v>116</v>
      </c>
      <c r="B52" s="1" t="n">
        <v>3</v>
      </c>
      <c r="C52" s="1" t="s">
        <v>47</v>
      </c>
      <c r="D52" s="1" t="n">
        <v>30</v>
      </c>
      <c r="E52" s="1" t="n">
        <v>73</v>
      </c>
    </row>
    <row r="53" customFormat="false" ht="15" hidden="false" customHeight="true" outlineLevel="0" collapsed="false">
      <c r="A53" s="1" t="s">
        <v>116</v>
      </c>
      <c r="B53" s="1" t="n">
        <v>3</v>
      </c>
      <c r="C53" s="1" t="s">
        <v>47</v>
      </c>
      <c r="D53" s="1" t="n">
        <v>60</v>
      </c>
      <c r="E53" s="1" t="n">
        <v>149</v>
      </c>
    </row>
    <row r="54" customFormat="false" ht="15" hidden="false" customHeight="true" outlineLevel="0" collapsed="false">
      <c r="A54" s="1" t="s">
        <v>116</v>
      </c>
      <c r="B54" s="1" t="n">
        <v>3</v>
      </c>
      <c r="C54" s="1" t="s">
        <v>47</v>
      </c>
      <c r="D54" s="1" t="n">
        <v>90</v>
      </c>
      <c r="E54" s="1" t="n">
        <v>185</v>
      </c>
    </row>
    <row r="55" customFormat="false" ht="15" hidden="false" customHeight="true" outlineLevel="0" collapsed="false">
      <c r="A55" s="1" t="s">
        <v>116</v>
      </c>
      <c r="B55" s="1" t="n">
        <v>3</v>
      </c>
      <c r="C55" s="1" t="s">
        <v>47</v>
      </c>
      <c r="D55" s="1" t="n">
        <v>120</v>
      </c>
      <c r="E55" s="1" t="n">
        <v>187</v>
      </c>
    </row>
    <row r="56" customFormat="false" ht="15" hidden="false" customHeight="true" outlineLevel="0" collapsed="false">
      <c r="A56" s="1" t="s">
        <v>116</v>
      </c>
      <c r="B56" s="1" t="n">
        <v>3</v>
      </c>
      <c r="C56" s="1" t="s">
        <v>47</v>
      </c>
      <c r="D56" s="1" t="n">
        <v>180</v>
      </c>
      <c r="E56" s="1" t="n">
        <v>148</v>
      </c>
    </row>
    <row r="57" customFormat="false" ht="15" hidden="false" customHeight="true" outlineLevel="0" collapsed="false">
      <c r="A57" s="1" t="s">
        <v>116</v>
      </c>
      <c r="B57" s="1" t="n">
        <v>3</v>
      </c>
      <c r="C57" s="1" t="s">
        <v>45</v>
      </c>
      <c r="D57" s="1" t="n">
        <v>7</v>
      </c>
      <c r="E57" s="1" t="n">
        <v>50</v>
      </c>
    </row>
    <row r="58" customFormat="false" ht="15" hidden="false" customHeight="true" outlineLevel="0" collapsed="false">
      <c r="A58" s="1" t="s">
        <v>116</v>
      </c>
      <c r="B58" s="1" t="n">
        <v>3</v>
      </c>
      <c r="C58" s="1" t="s">
        <v>45</v>
      </c>
      <c r="D58" s="1" t="n">
        <v>14</v>
      </c>
      <c r="E58" s="1" t="n">
        <v>100</v>
      </c>
    </row>
    <row r="59" customFormat="false" ht="15" hidden="false" customHeight="true" outlineLevel="0" collapsed="false">
      <c r="A59" s="1" t="s">
        <v>116</v>
      </c>
      <c r="B59" s="1" t="n">
        <v>3</v>
      </c>
      <c r="C59" s="1" t="s">
        <v>45</v>
      </c>
      <c r="D59" s="1" t="n">
        <v>30</v>
      </c>
      <c r="E59" s="1" t="n">
        <v>197</v>
      </c>
    </row>
    <row r="60" customFormat="false" ht="15" hidden="false" customHeight="true" outlineLevel="0" collapsed="false">
      <c r="A60" s="1" t="s">
        <v>116</v>
      </c>
      <c r="B60" s="1" t="n">
        <v>3</v>
      </c>
      <c r="C60" s="1" t="s">
        <v>45</v>
      </c>
      <c r="D60" s="1" t="n">
        <v>45</v>
      </c>
      <c r="E60" s="1" t="n">
        <v>251</v>
      </c>
    </row>
    <row r="61" customFormat="false" ht="15" hidden="false" customHeight="true" outlineLevel="0" collapsed="false">
      <c r="A61" s="1" t="s">
        <v>116</v>
      </c>
      <c r="B61" s="1" t="n">
        <v>3</v>
      </c>
      <c r="C61" s="1" t="s">
        <v>45</v>
      </c>
      <c r="D61" s="1" t="n">
        <v>60</v>
      </c>
      <c r="E61" s="1" t="n">
        <v>249</v>
      </c>
    </row>
    <row r="62" customFormat="false" ht="15" hidden="false" customHeight="true" outlineLevel="0" collapsed="false">
      <c r="A62" s="1" t="s">
        <v>116</v>
      </c>
      <c r="B62" s="1" t="n">
        <v>3</v>
      </c>
      <c r="C62" s="1" t="s">
        <v>45</v>
      </c>
      <c r="D62" s="1" t="n">
        <v>90</v>
      </c>
      <c r="E62" s="1" t="n">
        <v>151</v>
      </c>
    </row>
    <row r="63" customFormat="false" ht="15" hidden="false" customHeight="true" outlineLevel="0" collapsed="false">
      <c r="A63" s="1" t="s">
        <v>116</v>
      </c>
      <c r="B63" s="1" t="n">
        <v>3</v>
      </c>
      <c r="C63" s="1" t="s">
        <v>49</v>
      </c>
      <c r="D63" s="1" t="n">
        <v>0</v>
      </c>
      <c r="E63" s="1" t="n">
        <v>312</v>
      </c>
    </row>
    <row r="64" customFormat="false" ht="15" hidden="false" customHeight="true" outlineLevel="0" collapsed="false">
      <c r="A64" s="1" t="s">
        <v>116</v>
      </c>
      <c r="B64" s="1" t="n">
        <v>3</v>
      </c>
      <c r="C64" s="1" t="s">
        <v>49</v>
      </c>
      <c r="D64" s="1" t="n">
        <v>3</v>
      </c>
      <c r="E64" s="1" t="n">
        <v>261</v>
      </c>
    </row>
    <row r="65" customFormat="false" ht="15" hidden="false" customHeight="true" outlineLevel="0" collapsed="false">
      <c r="A65" s="1" t="s">
        <v>116</v>
      </c>
      <c r="B65" s="1" t="n">
        <v>3</v>
      </c>
      <c r="C65" s="1" t="s">
        <v>49</v>
      </c>
      <c r="D65" s="1" t="n">
        <v>7</v>
      </c>
      <c r="E65" s="1" t="n">
        <v>205</v>
      </c>
    </row>
    <row r="66" customFormat="false" ht="15" hidden="false" customHeight="true" outlineLevel="0" collapsed="false">
      <c r="A66" s="1" t="s">
        <v>116</v>
      </c>
      <c r="B66" s="1" t="n">
        <v>3</v>
      </c>
      <c r="C66" s="1" t="s">
        <v>49</v>
      </c>
      <c r="D66" s="1" t="n">
        <v>14</v>
      </c>
      <c r="E66" s="1" t="n">
        <v>156</v>
      </c>
    </row>
    <row r="67" customFormat="false" ht="15" hidden="false" customHeight="true" outlineLevel="0" collapsed="false">
      <c r="A67" s="1" t="s">
        <v>116</v>
      </c>
      <c r="B67" s="1" t="n">
        <v>3</v>
      </c>
      <c r="C67" s="1" t="s">
        <v>49</v>
      </c>
      <c r="D67" s="1" t="n">
        <v>21</v>
      </c>
      <c r="E67" s="1" t="n">
        <v>103</v>
      </c>
    </row>
    <row r="68" customFormat="false" ht="15" hidden="false" customHeight="true" outlineLevel="0" collapsed="false">
      <c r="A68" s="1" t="s">
        <v>148</v>
      </c>
      <c r="B68" s="1" t="n">
        <v>4</v>
      </c>
      <c r="C68" s="1" t="s">
        <v>43</v>
      </c>
      <c r="D68" s="1" t="n">
        <v>0</v>
      </c>
      <c r="E68" s="1" t="n">
        <v>333</v>
      </c>
    </row>
    <row r="69" customFormat="false" ht="15" hidden="false" customHeight="true" outlineLevel="0" collapsed="false">
      <c r="A69" s="1" t="s">
        <v>148</v>
      </c>
      <c r="B69" s="1" t="n">
        <v>4</v>
      </c>
      <c r="C69" s="1" t="s">
        <v>43</v>
      </c>
      <c r="D69" s="1" t="n">
        <v>3</v>
      </c>
      <c r="E69" s="1" t="n">
        <v>564</v>
      </c>
    </row>
    <row r="70" customFormat="false" ht="15" hidden="false" customHeight="true" outlineLevel="0" collapsed="false">
      <c r="A70" s="1" t="s">
        <v>148</v>
      </c>
      <c r="B70" s="1" t="n">
        <v>4</v>
      </c>
      <c r="C70" s="1" t="s">
        <v>43</v>
      </c>
      <c r="D70" s="1" t="n">
        <v>7</v>
      </c>
      <c r="E70" s="1" t="n">
        <v>555</v>
      </c>
    </row>
    <row r="71" customFormat="false" ht="15" hidden="false" customHeight="true" outlineLevel="0" collapsed="false">
      <c r="A71" s="1" t="s">
        <v>148</v>
      </c>
      <c r="B71" s="1" t="n">
        <v>4</v>
      </c>
      <c r="C71" s="1" t="s">
        <v>43</v>
      </c>
      <c r="D71" s="1" t="n">
        <v>14</v>
      </c>
      <c r="E71" s="1" t="n">
        <v>447</v>
      </c>
    </row>
    <row r="72" customFormat="false" ht="15" hidden="false" customHeight="true" outlineLevel="0" collapsed="false">
      <c r="A72" s="1" t="s">
        <v>148</v>
      </c>
      <c r="B72" s="1" t="n">
        <v>4</v>
      </c>
      <c r="C72" s="1" t="s">
        <v>43</v>
      </c>
      <c r="D72" s="1" t="n">
        <v>21</v>
      </c>
      <c r="E72" s="1" t="n">
        <v>224</v>
      </c>
    </row>
    <row r="73" customFormat="false" ht="15" hidden="false" customHeight="true" outlineLevel="0" collapsed="false">
      <c r="A73" s="1" t="s">
        <v>148</v>
      </c>
      <c r="B73" s="1" t="n">
        <v>4</v>
      </c>
      <c r="C73" s="1" t="s">
        <v>43</v>
      </c>
      <c r="D73" s="1" t="n">
        <v>30</v>
      </c>
      <c r="E73" s="1" t="n">
        <v>112</v>
      </c>
    </row>
    <row r="74" customFormat="false" ht="15" hidden="false" customHeight="true" outlineLevel="0" collapsed="false">
      <c r="A74" s="1" t="s">
        <v>148</v>
      </c>
      <c r="B74" s="1" t="n">
        <v>4</v>
      </c>
      <c r="C74" s="1" t="s">
        <v>47</v>
      </c>
      <c r="D74" s="1" t="n">
        <v>30</v>
      </c>
      <c r="E74" s="1" t="n">
        <v>74</v>
      </c>
    </row>
    <row r="75" customFormat="false" ht="15" hidden="false" customHeight="true" outlineLevel="0" collapsed="false">
      <c r="A75" s="1" t="s">
        <v>148</v>
      </c>
      <c r="B75" s="1" t="n">
        <v>4</v>
      </c>
      <c r="C75" s="1" t="s">
        <v>47</v>
      </c>
      <c r="D75" s="1" t="n">
        <v>60</v>
      </c>
      <c r="E75" s="1" t="n">
        <v>150</v>
      </c>
    </row>
    <row r="76" customFormat="false" ht="15" hidden="false" customHeight="true" outlineLevel="0" collapsed="false">
      <c r="A76" s="1" t="s">
        <v>148</v>
      </c>
      <c r="B76" s="1" t="n">
        <v>4</v>
      </c>
      <c r="C76" s="1" t="s">
        <v>47</v>
      </c>
      <c r="D76" s="1" t="n">
        <v>90</v>
      </c>
      <c r="E76" s="1" t="n">
        <v>184</v>
      </c>
    </row>
    <row r="77" customFormat="false" ht="15" hidden="false" customHeight="true" outlineLevel="0" collapsed="false">
      <c r="A77" s="1" t="s">
        <v>148</v>
      </c>
      <c r="B77" s="1" t="n">
        <v>4</v>
      </c>
      <c r="C77" s="1" t="s">
        <v>47</v>
      </c>
      <c r="D77" s="1" t="n">
        <v>120</v>
      </c>
      <c r="E77" s="1" t="n">
        <v>186</v>
      </c>
    </row>
    <row r="78" customFormat="false" ht="15" hidden="false" customHeight="true" outlineLevel="0" collapsed="false">
      <c r="A78" s="1" t="s">
        <v>148</v>
      </c>
      <c r="B78" s="1" t="n">
        <v>4</v>
      </c>
      <c r="C78" s="1" t="s">
        <v>47</v>
      </c>
      <c r="D78" s="1" t="n">
        <v>180</v>
      </c>
      <c r="E78" s="1" t="n">
        <v>150</v>
      </c>
    </row>
    <row r="79" customFormat="false" ht="15" hidden="false" customHeight="true" outlineLevel="0" collapsed="false">
      <c r="A79" s="1" t="s">
        <v>148</v>
      </c>
      <c r="B79" s="1" t="n">
        <v>4</v>
      </c>
      <c r="C79" s="1" t="s">
        <v>45</v>
      </c>
      <c r="D79" s="1" t="n">
        <v>7</v>
      </c>
      <c r="E79" s="1" t="n">
        <v>44</v>
      </c>
    </row>
    <row r="80" customFormat="false" ht="15" hidden="false" customHeight="true" outlineLevel="0" collapsed="false">
      <c r="A80" s="1" t="s">
        <v>148</v>
      </c>
      <c r="B80" s="1" t="n">
        <v>4</v>
      </c>
      <c r="C80" s="1" t="s">
        <v>45</v>
      </c>
      <c r="D80" s="1" t="n">
        <v>14</v>
      </c>
      <c r="E80" s="1" t="n">
        <v>89</v>
      </c>
    </row>
    <row r="81" customFormat="false" ht="15" hidden="false" customHeight="true" outlineLevel="0" collapsed="false">
      <c r="A81" s="1" t="s">
        <v>148</v>
      </c>
      <c r="B81" s="1" t="n">
        <v>4</v>
      </c>
      <c r="C81" s="1" t="s">
        <v>45</v>
      </c>
      <c r="D81" s="1" t="n">
        <v>30</v>
      </c>
      <c r="E81" s="1" t="n">
        <v>178</v>
      </c>
    </row>
    <row r="82" customFormat="false" ht="15" hidden="false" customHeight="true" outlineLevel="0" collapsed="false">
      <c r="A82" s="1" t="s">
        <v>148</v>
      </c>
      <c r="B82" s="1" t="n">
        <v>4</v>
      </c>
      <c r="C82" s="1" t="s">
        <v>45</v>
      </c>
      <c r="D82" s="1" t="n">
        <v>45</v>
      </c>
      <c r="E82" s="1" t="n">
        <v>222</v>
      </c>
    </row>
    <row r="83" customFormat="false" ht="15" hidden="false" customHeight="true" outlineLevel="0" collapsed="false">
      <c r="A83" s="1" t="s">
        <v>148</v>
      </c>
      <c r="B83" s="1" t="n">
        <v>4</v>
      </c>
      <c r="C83" s="1" t="s">
        <v>45</v>
      </c>
      <c r="D83" s="1" t="n">
        <v>60</v>
      </c>
      <c r="E83" s="1" t="n">
        <v>223</v>
      </c>
    </row>
    <row r="84" customFormat="false" ht="15" hidden="false" customHeight="true" outlineLevel="0" collapsed="false">
      <c r="A84" s="1" t="s">
        <v>148</v>
      </c>
      <c r="B84" s="1" t="n">
        <v>4</v>
      </c>
      <c r="C84" s="1" t="s">
        <v>45</v>
      </c>
      <c r="D84" s="1" t="n">
        <v>90</v>
      </c>
      <c r="E84" s="1" t="n">
        <v>132</v>
      </c>
    </row>
    <row r="85" customFormat="false" ht="15" hidden="false" customHeight="true" outlineLevel="0" collapsed="false">
      <c r="A85" s="1" t="s">
        <v>148</v>
      </c>
      <c r="B85" s="1" t="n">
        <v>4</v>
      </c>
      <c r="C85" s="1" t="s">
        <v>49</v>
      </c>
      <c r="D85" s="1" t="n">
        <v>0</v>
      </c>
      <c r="E85" s="1" t="n">
        <v>293</v>
      </c>
    </row>
    <row r="86" customFormat="false" ht="15" hidden="false" customHeight="true" outlineLevel="0" collapsed="false">
      <c r="A86" s="1" t="s">
        <v>148</v>
      </c>
      <c r="B86" s="1" t="n">
        <v>4</v>
      </c>
      <c r="C86" s="1" t="s">
        <v>49</v>
      </c>
      <c r="D86" s="1" t="n">
        <v>3</v>
      </c>
      <c r="E86" s="1" t="n">
        <v>249</v>
      </c>
    </row>
    <row r="87" customFormat="false" ht="15" hidden="false" customHeight="true" outlineLevel="0" collapsed="false">
      <c r="A87" s="1" t="s">
        <v>148</v>
      </c>
      <c r="B87" s="1" t="n">
        <v>4</v>
      </c>
      <c r="C87" s="1" t="s">
        <v>49</v>
      </c>
      <c r="D87" s="1" t="n">
        <v>7</v>
      </c>
      <c r="E87" s="1" t="n">
        <v>200</v>
      </c>
    </row>
    <row r="88" customFormat="false" ht="15" hidden="false" customHeight="true" outlineLevel="0" collapsed="false">
      <c r="A88" s="1" t="s">
        <v>148</v>
      </c>
      <c r="B88" s="1" t="n">
        <v>4</v>
      </c>
      <c r="C88" s="1" t="s">
        <v>49</v>
      </c>
      <c r="D88" s="1" t="n">
        <v>14</v>
      </c>
      <c r="E88" s="1" t="n">
        <v>148</v>
      </c>
    </row>
    <row r="89" customFormat="false" ht="15" hidden="false" customHeight="true" outlineLevel="0" collapsed="false">
      <c r="A89" s="1" t="s">
        <v>148</v>
      </c>
      <c r="B89" s="1" t="n">
        <v>4</v>
      </c>
      <c r="C89" s="1" t="s">
        <v>49</v>
      </c>
      <c r="D89" s="1" t="n">
        <v>21</v>
      </c>
      <c r="E89" s="1" t="n">
        <v>99</v>
      </c>
    </row>
    <row r="90" customFormat="false" ht="15" hidden="false" customHeight="true" outlineLevel="0" collapsed="false">
      <c r="A90" s="1" t="s">
        <v>179</v>
      </c>
      <c r="B90" s="1" t="n">
        <v>5</v>
      </c>
      <c r="C90" s="1" t="s">
        <v>43</v>
      </c>
      <c r="D90" s="1" t="n">
        <v>0</v>
      </c>
      <c r="E90" s="1" t="n">
        <v>369</v>
      </c>
    </row>
    <row r="91" customFormat="false" ht="15" hidden="false" customHeight="true" outlineLevel="0" collapsed="false">
      <c r="A91" s="1" t="s">
        <v>179</v>
      </c>
      <c r="B91" s="1" t="n">
        <v>5</v>
      </c>
      <c r="C91" s="1" t="s">
        <v>43</v>
      </c>
      <c r="D91" s="1" t="n">
        <v>3</v>
      </c>
      <c r="E91" s="1" t="n">
        <v>599</v>
      </c>
    </row>
    <row r="92" customFormat="false" ht="15" hidden="false" customHeight="true" outlineLevel="0" collapsed="false">
      <c r="A92" s="1" t="s">
        <v>179</v>
      </c>
      <c r="B92" s="1" t="n">
        <v>5</v>
      </c>
      <c r="C92" s="1" t="s">
        <v>43</v>
      </c>
      <c r="D92" s="1" t="n">
        <v>7</v>
      </c>
      <c r="E92" s="1" t="n">
        <v>596</v>
      </c>
    </row>
    <row r="93" customFormat="false" ht="15" hidden="false" customHeight="true" outlineLevel="0" collapsed="false">
      <c r="A93" s="1" t="s">
        <v>179</v>
      </c>
      <c r="B93" s="1" t="n">
        <v>5</v>
      </c>
      <c r="C93" s="1" t="s">
        <v>43</v>
      </c>
      <c r="D93" s="1" t="n">
        <v>14</v>
      </c>
      <c r="E93" s="1" t="n">
        <v>485</v>
      </c>
    </row>
    <row r="94" customFormat="false" ht="15" hidden="false" customHeight="true" outlineLevel="0" collapsed="false">
      <c r="A94" s="1" t="s">
        <v>179</v>
      </c>
      <c r="B94" s="1" t="n">
        <v>5</v>
      </c>
      <c r="C94" s="1" t="s">
        <v>43</v>
      </c>
      <c r="D94" s="1" t="n">
        <v>21</v>
      </c>
      <c r="E94" s="1" t="n">
        <v>241</v>
      </c>
    </row>
    <row r="95" customFormat="false" ht="15" hidden="false" customHeight="true" outlineLevel="0" collapsed="false">
      <c r="A95" s="1" t="s">
        <v>179</v>
      </c>
      <c r="B95" s="1" t="n">
        <v>5</v>
      </c>
      <c r="C95" s="1" t="s">
        <v>43</v>
      </c>
      <c r="D95" s="1" t="n">
        <v>30</v>
      </c>
      <c r="E95" s="1" t="n">
        <v>119</v>
      </c>
    </row>
    <row r="96" customFormat="false" ht="15" hidden="false" customHeight="true" outlineLevel="0" collapsed="false">
      <c r="A96" s="1" t="s">
        <v>179</v>
      </c>
      <c r="B96" s="1" t="n">
        <v>5</v>
      </c>
      <c r="C96" s="1" t="s">
        <v>47</v>
      </c>
      <c r="D96" s="1" t="n">
        <v>30</v>
      </c>
      <c r="E96" s="1" t="n">
        <v>81</v>
      </c>
    </row>
    <row r="97" customFormat="false" ht="15" hidden="false" customHeight="true" outlineLevel="0" collapsed="false">
      <c r="A97" s="1" t="s">
        <v>179</v>
      </c>
      <c r="B97" s="1" t="n">
        <v>5</v>
      </c>
      <c r="C97" s="1" t="s">
        <v>47</v>
      </c>
      <c r="D97" s="1" t="n">
        <v>60</v>
      </c>
      <c r="E97" s="1" t="n">
        <v>165</v>
      </c>
    </row>
    <row r="98" customFormat="false" ht="15" hidden="false" customHeight="true" outlineLevel="0" collapsed="false">
      <c r="A98" s="1" t="s">
        <v>179</v>
      </c>
      <c r="B98" s="1" t="n">
        <v>5</v>
      </c>
      <c r="C98" s="1" t="s">
        <v>47</v>
      </c>
      <c r="D98" s="1" t="n">
        <v>90</v>
      </c>
      <c r="E98" s="1" t="n">
        <v>208</v>
      </c>
    </row>
    <row r="99" customFormat="false" ht="15" hidden="false" customHeight="true" outlineLevel="0" collapsed="false">
      <c r="A99" s="1" t="s">
        <v>179</v>
      </c>
      <c r="B99" s="1" t="n">
        <v>5</v>
      </c>
      <c r="C99" s="1" t="s">
        <v>47</v>
      </c>
      <c r="D99" s="1" t="n">
        <v>120</v>
      </c>
      <c r="E99" s="1" t="n">
        <v>202</v>
      </c>
    </row>
    <row r="100" customFormat="false" ht="15" hidden="false" customHeight="true" outlineLevel="0" collapsed="false">
      <c r="A100" s="1" t="s">
        <v>179</v>
      </c>
      <c r="B100" s="1" t="n">
        <v>5</v>
      </c>
      <c r="C100" s="1" t="s">
        <v>47</v>
      </c>
      <c r="D100" s="1" t="n">
        <v>180</v>
      </c>
      <c r="E100" s="1" t="n">
        <v>166</v>
      </c>
    </row>
    <row r="101" customFormat="false" ht="15" hidden="false" customHeight="true" outlineLevel="0" collapsed="false">
      <c r="A101" s="1" t="s">
        <v>179</v>
      </c>
      <c r="B101" s="1" t="n">
        <v>5</v>
      </c>
      <c r="C101" s="1" t="s">
        <v>45</v>
      </c>
      <c r="D101" s="1" t="n">
        <v>7</v>
      </c>
      <c r="E101" s="1" t="n">
        <v>49</v>
      </c>
    </row>
    <row r="102" customFormat="false" ht="15" hidden="false" customHeight="true" outlineLevel="0" collapsed="false">
      <c r="A102" s="1" t="s">
        <v>179</v>
      </c>
      <c r="B102" s="1" t="n">
        <v>5</v>
      </c>
      <c r="C102" s="1" t="s">
        <v>45</v>
      </c>
      <c r="D102" s="1" t="n">
        <v>14</v>
      </c>
      <c r="E102" s="1" t="n">
        <v>100</v>
      </c>
    </row>
    <row r="103" customFormat="false" ht="15" hidden="false" customHeight="true" outlineLevel="0" collapsed="false">
      <c r="A103" s="1" t="s">
        <v>179</v>
      </c>
      <c r="B103" s="1" t="n">
        <v>5</v>
      </c>
      <c r="C103" s="1" t="s">
        <v>45</v>
      </c>
      <c r="D103" s="1" t="n">
        <v>30</v>
      </c>
      <c r="E103" s="1" t="n">
        <v>196</v>
      </c>
    </row>
    <row r="104" customFormat="false" ht="15" hidden="false" customHeight="true" outlineLevel="0" collapsed="false">
      <c r="A104" s="1" t="s">
        <v>179</v>
      </c>
      <c r="B104" s="1" t="n">
        <v>5</v>
      </c>
      <c r="C104" s="1" t="s">
        <v>45</v>
      </c>
      <c r="D104" s="1" t="n">
        <v>45</v>
      </c>
      <c r="E104" s="1" t="n">
        <v>244</v>
      </c>
    </row>
    <row r="105" customFormat="false" ht="15" hidden="false" customHeight="true" outlineLevel="0" collapsed="false">
      <c r="A105" s="1" t="s">
        <v>179</v>
      </c>
      <c r="B105" s="1" t="n">
        <v>5</v>
      </c>
      <c r="C105" s="1" t="s">
        <v>45</v>
      </c>
      <c r="D105" s="1" t="n">
        <v>60</v>
      </c>
      <c r="E105" s="1" t="n">
        <v>247</v>
      </c>
    </row>
    <row r="106" customFormat="false" ht="15" hidden="false" customHeight="true" outlineLevel="0" collapsed="false">
      <c r="A106" s="1" t="s">
        <v>179</v>
      </c>
      <c r="B106" s="1" t="n">
        <v>5</v>
      </c>
      <c r="C106" s="1" t="s">
        <v>45</v>
      </c>
      <c r="D106" s="1" t="n">
        <v>90</v>
      </c>
      <c r="E106" s="1" t="n">
        <v>143</v>
      </c>
    </row>
    <row r="107" customFormat="false" ht="15" hidden="false" customHeight="true" outlineLevel="0" collapsed="false">
      <c r="A107" s="1" t="s">
        <v>179</v>
      </c>
      <c r="B107" s="1" t="n">
        <v>5</v>
      </c>
      <c r="C107" s="1" t="s">
        <v>49</v>
      </c>
      <c r="D107" s="1" t="n">
        <v>0</v>
      </c>
      <c r="E107" s="1" t="n">
        <v>320</v>
      </c>
    </row>
    <row r="108" customFormat="false" ht="15" hidden="false" customHeight="true" outlineLevel="0" collapsed="false">
      <c r="A108" s="1" t="s">
        <v>179</v>
      </c>
      <c r="B108" s="1" t="n">
        <v>5</v>
      </c>
      <c r="C108" s="1" t="s">
        <v>49</v>
      </c>
      <c r="D108" s="1" t="n">
        <v>3</v>
      </c>
      <c r="E108" s="1" t="n">
        <v>268</v>
      </c>
    </row>
    <row r="109" customFormat="false" ht="15" hidden="false" customHeight="true" outlineLevel="0" collapsed="false">
      <c r="A109" s="1" t="s">
        <v>179</v>
      </c>
      <c r="B109" s="1" t="n">
        <v>5</v>
      </c>
      <c r="C109" s="1" t="s">
        <v>49</v>
      </c>
      <c r="D109" s="1" t="n">
        <v>7</v>
      </c>
      <c r="E109" s="1" t="n">
        <v>210</v>
      </c>
    </row>
    <row r="110" customFormat="false" ht="15" hidden="false" customHeight="true" outlineLevel="0" collapsed="false">
      <c r="A110" s="1" t="s">
        <v>179</v>
      </c>
      <c r="B110" s="1" t="n">
        <v>5</v>
      </c>
      <c r="C110" s="1" t="s">
        <v>49</v>
      </c>
      <c r="D110" s="1" t="n">
        <v>14</v>
      </c>
      <c r="E110" s="1" t="n">
        <v>162</v>
      </c>
    </row>
    <row r="111" customFormat="false" ht="15" hidden="false" customHeight="true" outlineLevel="0" collapsed="false">
      <c r="A111" s="1" t="s">
        <v>179</v>
      </c>
      <c r="B111" s="1" t="n">
        <v>5</v>
      </c>
      <c r="C111" s="1" t="s">
        <v>49</v>
      </c>
      <c r="D111" s="1" t="n">
        <v>21</v>
      </c>
      <c r="E111" s="1" t="n">
        <v>107</v>
      </c>
    </row>
    <row r="112" customFormat="false" ht="15" hidden="false" customHeight="true" outlineLevel="0" collapsed="false">
      <c r="A112" s="1" t="s">
        <v>211</v>
      </c>
      <c r="B112" s="1" t="n">
        <v>6</v>
      </c>
      <c r="C112" s="1" t="s">
        <v>43</v>
      </c>
      <c r="D112" s="1" t="n">
        <v>0</v>
      </c>
      <c r="E112" s="1" t="n">
        <v>349</v>
      </c>
    </row>
    <row r="113" customFormat="false" ht="15" hidden="false" customHeight="true" outlineLevel="0" collapsed="false">
      <c r="A113" s="1" t="s">
        <v>211</v>
      </c>
      <c r="B113" s="1" t="n">
        <v>6</v>
      </c>
      <c r="C113" s="1" t="s">
        <v>43</v>
      </c>
      <c r="D113" s="1" t="n">
        <v>3</v>
      </c>
      <c r="E113" s="1" t="n">
        <v>590</v>
      </c>
    </row>
    <row r="114" customFormat="false" ht="15" hidden="false" customHeight="true" outlineLevel="0" collapsed="false">
      <c r="A114" s="1" t="s">
        <v>211</v>
      </c>
      <c r="B114" s="1" t="n">
        <v>6</v>
      </c>
      <c r="C114" s="1" t="s">
        <v>43</v>
      </c>
      <c r="D114" s="1" t="n">
        <v>7</v>
      </c>
      <c r="E114" s="1" t="n">
        <v>566</v>
      </c>
    </row>
    <row r="115" customFormat="false" ht="15" hidden="false" customHeight="true" outlineLevel="0" collapsed="false">
      <c r="A115" s="1" t="s">
        <v>211</v>
      </c>
      <c r="B115" s="1" t="n">
        <v>6</v>
      </c>
      <c r="C115" s="1" t="s">
        <v>43</v>
      </c>
      <c r="D115" s="1" t="n">
        <v>14</v>
      </c>
      <c r="E115" s="1" t="n">
        <v>468</v>
      </c>
    </row>
    <row r="116" customFormat="false" ht="15" hidden="false" customHeight="true" outlineLevel="0" collapsed="false">
      <c r="A116" s="1" t="s">
        <v>211</v>
      </c>
      <c r="B116" s="1" t="n">
        <v>6</v>
      </c>
      <c r="C116" s="1" t="s">
        <v>43</v>
      </c>
      <c r="D116" s="1" t="n">
        <v>21</v>
      </c>
      <c r="E116" s="1" t="n">
        <v>234</v>
      </c>
    </row>
    <row r="117" customFormat="false" ht="15" hidden="false" customHeight="true" outlineLevel="0" collapsed="false">
      <c r="A117" s="1" t="s">
        <v>211</v>
      </c>
      <c r="B117" s="1" t="n">
        <v>6</v>
      </c>
      <c r="C117" s="1" t="s">
        <v>43</v>
      </c>
      <c r="D117" s="1" t="n">
        <v>30</v>
      </c>
      <c r="E117" s="1" t="n">
        <v>117</v>
      </c>
    </row>
    <row r="118" customFormat="false" ht="15" hidden="false" customHeight="true" outlineLevel="0" collapsed="false">
      <c r="A118" s="1" t="s">
        <v>211</v>
      </c>
      <c r="B118" s="1" t="n">
        <v>6</v>
      </c>
      <c r="C118" s="1" t="s">
        <v>47</v>
      </c>
      <c r="D118" s="1" t="n">
        <v>30</v>
      </c>
      <c r="E118" s="1" t="n">
        <v>78</v>
      </c>
    </row>
    <row r="119" customFormat="false" ht="15" hidden="false" customHeight="true" outlineLevel="0" collapsed="false">
      <c r="A119" s="1" t="s">
        <v>211</v>
      </c>
      <c r="B119" s="1" t="n">
        <v>6</v>
      </c>
      <c r="C119" s="1" t="s">
        <v>47</v>
      </c>
      <c r="D119" s="1" t="n">
        <v>60</v>
      </c>
      <c r="E119" s="1" t="n">
        <v>154</v>
      </c>
    </row>
    <row r="120" customFormat="false" ht="15" hidden="false" customHeight="true" outlineLevel="0" collapsed="false">
      <c r="A120" s="1" t="s">
        <v>211</v>
      </c>
      <c r="B120" s="1" t="n">
        <v>6</v>
      </c>
      <c r="C120" s="1" t="s">
        <v>47</v>
      </c>
      <c r="D120" s="1" t="n">
        <v>90</v>
      </c>
      <c r="E120" s="1" t="n">
        <v>192</v>
      </c>
    </row>
    <row r="121" customFormat="false" ht="15" hidden="false" customHeight="true" outlineLevel="0" collapsed="false">
      <c r="A121" s="1" t="s">
        <v>211</v>
      </c>
      <c r="B121" s="1" t="n">
        <v>6</v>
      </c>
      <c r="C121" s="1" t="s">
        <v>47</v>
      </c>
      <c r="D121" s="1" t="n">
        <v>120</v>
      </c>
      <c r="E121" s="1" t="n">
        <v>193</v>
      </c>
    </row>
    <row r="122" customFormat="false" ht="15" hidden="false" customHeight="true" outlineLevel="0" collapsed="false">
      <c r="A122" s="1" t="s">
        <v>211</v>
      </c>
      <c r="B122" s="1" t="n">
        <v>6</v>
      </c>
      <c r="C122" s="1" t="s">
        <v>47</v>
      </c>
      <c r="D122" s="1" t="n">
        <v>180</v>
      </c>
      <c r="E122" s="1" t="n">
        <v>154</v>
      </c>
    </row>
    <row r="123" customFormat="false" ht="15" hidden="false" customHeight="true" outlineLevel="0" collapsed="false">
      <c r="A123" s="1" t="s">
        <v>211</v>
      </c>
      <c r="B123" s="1" t="n">
        <v>6</v>
      </c>
      <c r="C123" s="1" t="s">
        <v>45</v>
      </c>
      <c r="D123" s="1" t="n">
        <v>7</v>
      </c>
      <c r="E123" s="1" t="n">
        <v>49</v>
      </c>
    </row>
    <row r="124" customFormat="false" ht="15" hidden="false" customHeight="true" outlineLevel="0" collapsed="false">
      <c r="A124" s="1" t="s">
        <v>211</v>
      </c>
      <c r="B124" s="1" t="n">
        <v>6</v>
      </c>
      <c r="C124" s="1" t="s">
        <v>45</v>
      </c>
      <c r="D124" s="1" t="n">
        <v>14</v>
      </c>
      <c r="E124" s="1" t="n">
        <v>100</v>
      </c>
    </row>
    <row r="125" customFormat="false" ht="15" hidden="false" customHeight="true" outlineLevel="0" collapsed="false">
      <c r="A125" s="1" t="s">
        <v>211</v>
      </c>
      <c r="B125" s="1" t="n">
        <v>6</v>
      </c>
      <c r="C125" s="1" t="s">
        <v>45</v>
      </c>
      <c r="D125" s="1" t="n">
        <v>30</v>
      </c>
      <c r="E125" s="1" t="n">
        <v>201</v>
      </c>
    </row>
    <row r="126" customFormat="false" ht="15" hidden="false" customHeight="true" outlineLevel="0" collapsed="false">
      <c r="A126" s="1" t="s">
        <v>211</v>
      </c>
      <c r="B126" s="1" t="n">
        <v>6</v>
      </c>
      <c r="C126" s="1" t="s">
        <v>45</v>
      </c>
      <c r="D126" s="1" t="n">
        <v>45</v>
      </c>
      <c r="E126" s="1" t="n">
        <v>250</v>
      </c>
    </row>
    <row r="127" customFormat="false" ht="15" hidden="false" customHeight="true" outlineLevel="0" collapsed="false">
      <c r="A127" s="1" t="s">
        <v>211</v>
      </c>
      <c r="B127" s="1" t="n">
        <v>6</v>
      </c>
      <c r="C127" s="1" t="s">
        <v>45</v>
      </c>
      <c r="D127" s="1" t="n">
        <v>60</v>
      </c>
      <c r="E127" s="1" t="n">
        <v>249</v>
      </c>
    </row>
    <row r="128" customFormat="false" ht="15" hidden="false" customHeight="true" outlineLevel="0" collapsed="false">
      <c r="A128" s="1" t="s">
        <v>211</v>
      </c>
      <c r="B128" s="1" t="n">
        <v>6</v>
      </c>
      <c r="C128" s="1" t="s">
        <v>45</v>
      </c>
      <c r="D128" s="1" t="n">
        <v>90</v>
      </c>
      <c r="E128" s="1" t="n">
        <v>150</v>
      </c>
    </row>
    <row r="129" customFormat="false" ht="15" hidden="false" customHeight="true" outlineLevel="0" collapsed="false">
      <c r="A129" s="1" t="s">
        <v>211</v>
      </c>
      <c r="B129" s="1" t="n">
        <v>6</v>
      </c>
      <c r="C129" s="1" t="s">
        <v>49</v>
      </c>
      <c r="D129" s="1" t="n">
        <v>0</v>
      </c>
      <c r="E129" s="1" t="n">
        <v>314</v>
      </c>
    </row>
    <row r="130" customFormat="false" ht="15" hidden="false" customHeight="true" outlineLevel="0" collapsed="false">
      <c r="A130" s="1" t="s">
        <v>211</v>
      </c>
      <c r="B130" s="1" t="n">
        <v>6</v>
      </c>
      <c r="C130" s="1" t="s">
        <v>49</v>
      </c>
      <c r="D130" s="1" t="n">
        <v>3</v>
      </c>
      <c r="E130" s="1" t="n">
        <v>262</v>
      </c>
    </row>
    <row r="131" customFormat="false" ht="15" hidden="false" customHeight="true" outlineLevel="0" collapsed="false">
      <c r="A131" s="1" t="s">
        <v>211</v>
      </c>
      <c r="B131" s="1" t="n">
        <v>6</v>
      </c>
      <c r="C131" s="1" t="s">
        <v>49</v>
      </c>
      <c r="D131" s="1" t="n">
        <v>7</v>
      </c>
      <c r="E131" s="1" t="n">
        <v>209</v>
      </c>
    </row>
    <row r="132" customFormat="false" ht="15" hidden="false" customHeight="true" outlineLevel="0" collapsed="false">
      <c r="A132" s="1" t="s">
        <v>211</v>
      </c>
      <c r="B132" s="1" t="n">
        <v>6</v>
      </c>
      <c r="C132" s="1" t="s">
        <v>49</v>
      </c>
      <c r="D132" s="1" t="n">
        <v>14</v>
      </c>
      <c r="E132" s="1" t="n">
        <v>159</v>
      </c>
    </row>
    <row r="133" customFormat="false" ht="15" hidden="false" customHeight="true" outlineLevel="0" collapsed="false">
      <c r="A133" s="1" t="s">
        <v>211</v>
      </c>
      <c r="B133" s="1" t="n">
        <v>6</v>
      </c>
      <c r="C133" s="1" t="s">
        <v>49</v>
      </c>
      <c r="D133" s="1" t="n">
        <v>21</v>
      </c>
      <c r="E133" s="1" t="n">
        <v>105</v>
      </c>
    </row>
    <row r="134" customFormat="false" ht="15" hidden="false" customHeight="true" outlineLevel="0" collapsed="false">
      <c r="A134" s="1" t="s">
        <v>242</v>
      </c>
      <c r="B134" s="1" t="n">
        <v>7</v>
      </c>
      <c r="C134" s="1" t="s">
        <v>43</v>
      </c>
      <c r="D134" s="1" t="n">
        <v>0</v>
      </c>
      <c r="E134" s="1" t="n">
        <v>335</v>
      </c>
    </row>
    <row r="135" customFormat="false" ht="15" hidden="false" customHeight="true" outlineLevel="0" collapsed="false">
      <c r="A135" s="1" t="s">
        <v>242</v>
      </c>
      <c r="B135" s="1" t="n">
        <v>7</v>
      </c>
      <c r="C135" s="1" t="s">
        <v>43</v>
      </c>
      <c r="D135" s="1" t="n">
        <v>3</v>
      </c>
      <c r="E135" s="1" t="n">
        <v>566</v>
      </c>
    </row>
    <row r="136" customFormat="false" ht="15" hidden="false" customHeight="true" outlineLevel="0" collapsed="false">
      <c r="A136" s="1" t="s">
        <v>242</v>
      </c>
      <c r="B136" s="1" t="n">
        <v>7</v>
      </c>
      <c r="C136" s="1" t="s">
        <v>43</v>
      </c>
      <c r="D136" s="1" t="n">
        <v>7</v>
      </c>
      <c r="E136" s="1" t="n">
        <v>560</v>
      </c>
    </row>
    <row r="137" customFormat="false" ht="15" hidden="false" customHeight="true" outlineLevel="0" collapsed="false">
      <c r="A137" s="1" t="s">
        <v>242</v>
      </c>
      <c r="B137" s="1" t="n">
        <v>7</v>
      </c>
      <c r="C137" s="1" t="s">
        <v>43</v>
      </c>
      <c r="D137" s="1" t="n">
        <v>14</v>
      </c>
      <c r="E137" s="1" t="n">
        <v>444</v>
      </c>
    </row>
    <row r="138" customFormat="false" ht="15" hidden="false" customHeight="true" outlineLevel="0" collapsed="false">
      <c r="A138" s="1" t="s">
        <v>242</v>
      </c>
      <c r="B138" s="1" t="n">
        <v>7</v>
      </c>
      <c r="C138" s="1" t="s">
        <v>43</v>
      </c>
      <c r="D138" s="1" t="n">
        <v>21</v>
      </c>
      <c r="E138" s="1" t="n">
        <v>223</v>
      </c>
    </row>
    <row r="139" customFormat="false" ht="15" hidden="false" customHeight="true" outlineLevel="0" collapsed="false">
      <c r="A139" s="1" t="s">
        <v>242</v>
      </c>
      <c r="B139" s="1" t="n">
        <v>7</v>
      </c>
      <c r="C139" s="1" t="s">
        <v>43</v>
      </c>
      <c r="D139" s="1" t="n">
        <v>30</v>
      </c>
      <c r="E139" s="1" t="n">
        <v>113</v>
      </c>
    </row>
    <row r="140" customFormat="false" ht="15" hidden="false" customHeight="true" outlineLevel="0" collapsed="false">
      <c r="A140" s="1" t="s">
        <v>242</v>
      </c>
      <c r="B140" s="1" t="n">
        <v>7</v>
      </c>
      <c r="C140" s="1" t="s">
        <v>47</v>
      </c>
      <c r="D140" s="1" t="n">
        <v>30</v>
      </c>
      <c r="E140" s="1" t="n">
        <v>75</v>
      </c>
    </row>
    <row r="141" customFormat="false" ht="15" hidden="false" customHeight="true" outlineLevel="0" collapsed="false">
      <c r="A141" s="1" t="s">
        <v>242</v>
      </c>
      <c r="B141" s="1" t="n">
        <v>7</v>
      </c>
      <c r="C141" s="1" t="s">
        <v>47</v>
      </c>
      <c r="D141" s="1" t="n">
        <v>60</v>
      </c>
      <c r="E141" s="1" t="n">
        <v>148</v>
      </c>
    </row>
    <row r="142" customFormat="false" ht="15" hidden="false" customHeight="true" outlineLevel="0" collapsed="false">
      <c r="A142" s="1" t="s">
        <v>242</v>
      </c>
      <c r="B142" s="1" t="n">
        <v>7</v>
      </c>
      <c r="C142" s="1" t="s">
        <v>47</v>
      </c>
      <c r="D142" s="1" t="n">
        <v>90</v>
      </c>
      <c r="E142" s="1" t="n">
        <v>182</v>
      </c>
    </row>
    <row r="143" customFormat="false" ht="15" hidden="false" customHeight="true" outlineLevel="0" collapsed="false">
      <c r="A143" s="1" t="s">
        <v>242</v>
      </c>
      <c r="B143" s="1" t="n">
        <v>7</v>
      </c>
      <c r="C143" s="1" t="s">
        <v>47</v>
      </c>
      <c r="D143" s="1" t="n">
        <v>120</v>
      </c>
      <c r="E143" s="1" t="n">
        <v>184</v>
      </c>
    </row>
    <row r="144" customFormat="false" ht="15" hidden="false" customHeight="true" outlineLevel="0" collapsed="false">
      <c r="A144" s="1" t="s">
        <v>242</v>
      </c>
      <c r="B144" s="1" t="n">
        <v>7</v>
      </c>
      <c r="C144" s="1" t="s">
        <v>47</v>
      </c>
      <c r="D144" s="1" t="n">
        <v>180</v>
      </c>
      <c r="E144" s="1" t="n">
        <v>146</v>
      </c>
    </row>
    <row r="145" customFormat="false" ht="15" hidden="false" customHeight="true" outlineLevel="0" collapsed="false">
      <c r="A145" s="1" t="s">
        <v>242</v>
      </c>
      <c r="B145" s="1" t="n">
        <v>7</v>
      </c>
      <c r="C145" s="1" t="s">
        <v>45</v>
      </c>
      <c r="D145" s="1" t="n">
        <v>7</v>
      </c>
      <c r="E145" s="1" t="n">
        <v>42</v>
      </c>
    </row>
    <row r="146" customFormat="false" ht="15" hidden="false" customHeight="true" outlineLevel="0" collapsed="false">
      <c r="A146" s="1" t="s">
        <v>242</v>
      </c>
      <c r="B146" s="1" t="n">
        <v>7</v>
      </c>
      <c r="C146" s="1" t="s">
        <v>45</v>
      </c>
      <c r="D146" s="1" t="n">
        <v>14</v>
      </c>
      <c r="E146" s="1" t="n">
        <v>83</v>
      </c>
    </row>
    <row r="147" customFormat="false" ht="15" hidden="false" customHeight="true" outlineLevel="0" collapsed="false">
      <c r="A147" s="1" t="s">
        <v>242</v>
      </c>
      <c r="B147" s="1" t="n">
        <v>7</v>
      </c>
      <c r="C147" s="1" t="s">
        <v>45</v>
      </c>
      <c r="D147" s="1" t="n">
        <v>30</v>
      </c>
      <c r="E147" s="1" t="n">
        <v>167</v>
      </c>
    </row>
    <row r="148" customFormat="false" ht="15" hidden="false" customHeight="true" outlineLevel="0" collapsed="false">
      <c r="A148" s="1" t="s">
        <v>242</v>
      </c>
      <c r="B148" s="1" t="n">
        <v>7</v>
      </c>
      <c r="C148" s="1" t="s">
        <v>45</v>
      </c>
      <c r="D148" s="1" t="n">
        <v>45</v>
      </c>
      <c r="E148" s="1" t="n">
        <v>207</v>
      </c>
    </row>
    <row r="149" customFormat="false" ht="15" hidden="false" customHeight="true" outlineLevel="0" collapsed="false">
      <c r="A149" s="1" t="s">
        <v>242</v>
      </c>
      <c r="B149" s="1" t="n">
        <v>7</v>
      </c>
      <c r="C149" s="1" t="s">
        <v>45</v>
      </c>
      <c r="D149" s="1" t="n">
        <v>60</v>
      </c>
      <c r="E149" s="1" t="n">
        <v>211</v>
      </c>
    </row>
    <row r="150" customFormat="false" ht="15" hidden="false" customHeight="true" outlineLevel="0" collapsed="false">
      <c r="A150" s="1" t="s">
        <v>242</v>
      </c>
      <c r="B150" s="1" t="n">
        <v>7</v>
      </c>
      <c r="C150" s="1" t="s">
        <v>45</v>
      </c>
      <c r="D150" s="1" t="n">
        <v>90</v>
      </c>
      <c r="E150" s="1" t="n">
        <v>123</v>
      </c>
    </row>
    <row r="151" customFormat="false" ht="15" hidden="false" customHeight="true" outlineLevel="0" collapsed="false">
      <c r="A151" s="1" t="s">
        <v>242</v>
      </c>
      <c r="B151" s="1" t="n">
        <v>7</v>
      </c>
      <c r="C151" s="1" t="s">
        <v>49</v>
      </c>
      <c r="D151" s="1" t="n">
        <v>0</v>
      </c>
      <c r="E151" s="1" t="n">
        <v>284</v>
      </c>
    </row>
    <row r="152" customFormat="false" ht="15" hidden="false" customHeight="true" outlineLevel="0" collapsed="false">
      <c r="A152" s="1" t="s">
        <v>242</v>
      </c>
      <c r="B152" s="1" t="n">
        <v>7</v>
      </c>
      <c r="C152" s="1" t="s">
        <v>49</v>
      </c>
      <c r="D152" s="1" t="n">
        <v>3</v>
      </c>
      <c r="E152" s="1" t="n">
        <v>237</v>
      </c>
    </row>
    <row r="153" customFormat="false" ht="15" hidden="false" customHeight="true" outlineLevel="0" collapsed="false">
      <c r="A153" s="1" t="s">
        <v>242</v>
      </c>
      <c r="B153" s="1" t="n">
        <v>7</v>
      </c>
      <c r="C153" s="1" t="s">
        <v>49</v>
      </c>
      <c r="D153" s="1" t="n">
        <v>7</v>
      </c>
      <c r="E153" s="1" t="n">
        <v>192</v>
      </c>
    </row>
    <row r="154" customFormat="false" ht="15" hidden="false" customHeight="true" outlineLevel="0" collapsed="false">
      <c r="A154" s="1" t="s">
        <v>242</v>
      </c>
      <c r="B154" s="1" t="n">
        <v>7</v>
      </c>
      <c r="C154" s="1" t="s">
        <v>49</v>
      </c>
      <c r="D154" s="1" t="n">
        <v>14</v>
      </c>
      <c r="E154" s="1" t="n">
        <v>141</v>
      </c>
    </row>
    <row r="155" customFormat="false" ht="15" hidden="false" customHeight="true" outlineLevel="0" collapsed="false">
      <c r="A155" s="1" t="s">
        <v>242</v>
      </c>
      <c r="B155" s="1" t="n">
        <v>7</v>
      </c>
      <c r="C155" s="1" t="s">
        <v>49</v>
      </c>
      <c r="D155" s="1" t="n">
        <v>21</v>
      </c>
      <c r="E155" s="1" t="n">
        <v>95</v>
      </c>
    </row>
    <row r="156" customFormat="false" ht="15" hidden="false" customHeight="true" outlineLevel="0" collapsed="false">
      <c r="A156" s="1" t="s">
        <v>274</v>
      </c>
      <c r="B156" s="1" t="n">
        <v>8</v>
      </c>
      <c r="C156" s="1" t="s">
        <v>43</v>
      </c>
      <c r="D156" s="1" t="n">
        <v>0</v>
      </c>
      <c r="E156" s="1" t="n">
        <v>217</v>
      </c>
    </row>
    <row r="157" customFormat="false" ht="15" hidden="false" customHeight="true" outlineLevel="0" collapsed="false">
      <c r="A157" s="1" t="s">
        <v>274</v>
      </c>
      <c r="B157" s="1" t="n">
        <v>8</v>
      </c>
      <c r="C157" s="1" t="s">
        <v>43</v>
      </c>
      <c r="D157" s="1" t="n">
        <v>3</v>
      </c>
      <c r="E157" s="1" t="n">
        <v>369</v>
      </c>
    </row>
    <row r="158" customFormat="false" ht="15" hidden="false" customHeight="true" outlineLevel="0" collapsed="false">
      <c r="A158" s="1" t="s">
        <v>274</v>
      </c>
      <c r="B158" s="1" t="n">
        <v>8</v>
      </c>
      <c r="C158" s="1" t="s">
        <v>43</v>
      </c>
      <c r="D158" s="1" t="n">
        <v>7</v>
      </c>
      <c r="E158" s="1" t="n">
        <v>366</v>
      </c>
    </row>
    <row r="159" customFormat="false" ht="15" hidden="false" customHeight="true" outlineLevel="0" collapsed="false">
      <c r="A159" s="1" t="s">
        <v>274</v>
      </c>
      <c r="B159" s="1" t="n">
        <v>8</v>
      </c>
      <c r="C159" s="1" t="s">
        <v>43</v>
      </c>
      <c r="D159" s="1" t="n">
        <v>14</v>
      </c>
      <c r="E159" s="1" t="n">
        <v>295</v>
      </c>
    </row>
    <row r="160" customFormat="false" ht="15" hidden="false" customHeight="true" outlineLevel="0" collapsed="false">
      <c r="A160" s="1" t="s">
        <v>274</v>
      </c>
      <c r="B160" s="1" t="n">
        <v>8</v>
      </c>
      <c r="C160" s="1" t="s">
        <v>43</v>
      </c>
      <c r="D160" s="1" t="n">
        <v>21</v>
      </c>
      <c r="E160" s="1" t="n">
        <v>148</v>
      </c>
    </row>
    <row r="161" customFormat="false" ht="15" hidden="false" customHeight="true" outlineLevel="0" collapsed="false">
      <c r="A161" s="1" t="s">
        <v>274</v>
      </c>
      <c r="B161" s="1" t="n">
        <v>8</v>
      </c>
      <c r="C161" s="1" t="s">
        <v>43</v>
      </c>
      <c r="D161" s="1" t="n">
        <v>30</v>
      </c>
      <c r="E161" s="1" t="n">
        <v>74</v>
      </c>
    </row>
    <row r="162" customFormat="false" ht="15" hidden="false" customHeight="true" outlineLevel="0" collapsed="false">
      <c r="A162" s="1" t="s">
        <v>274</v>
      </c>
      <c r="B162" s="1" t="n">
        <v>8</v>
      </c>
      <c r="C162" s="1" t="s">
        <v>47</v>
      </c>
      <c r="D162" s="1" t="n">
        <v>30</v>
      </c>
      <c r="E162" s="1" t="n">
        <v>50</v>
      </c>
    </row>
    <row r="163" customFormat="false" ht="15" hidden="false" customHeight="true" outlineLevel="0" collapsed="false">
      <c r="A163" s="1" t="s">
        <v>274</v>
      </c>
      <c r="B163" s="1" t="n">
        <v>8</v>
      </c>
      <c r="C163" s="1" t="s">
        <v>47</v>
      </c>
      <c r="D163" s="1" t="n">
        <v>60</v>
      </c>
      <c r="E163" s="1" t="n">
        <v>99</v>
      </c>
    </row>
    <row r="164" customFormat="false" ht="15" hidden="false" customHeight="true" outlineLevel="0" collapsed="false">
      <c r="A164" s="1" t="s">
        <v>274</v>
      </c>
      <c r="B164" s="1" t="n">
        <v>8</v>
      </c>
      <c r="C164" s="1" t="s">
        <v>47</v>
      </c>
      <c r="D164" s="1" t="n">
        <v>90</v>
      </c>
      <c r="E164" s="1" t="n">
        <v>122</v>
      </c>
    </row>
    <row r="165" customFormat="false" ht="15" hidden="false" customHeight="true" outlineLevel="0" collapsed="false">
      <c r="A165" s="1" t="s">
        <v>274</v>
      </c>
      <c r="B165" s="1" t="n">
        <v>8</v>
      </c>
      <c r="C165" s="1" t="s">
        <v>47</v>
      </c>
      <c r="D165" s="1" t="n">
        <v>120</v>
      </c>
      <c r="E165" s="1" t="n">
        <v>123</v>
      </c>
    </row>
    <row r="166" customFormat="false" ht="15" hidden="false" customHeight="true" outlineLevel="0" collapsed="false">
      <c r="A166" s="1" t="s">
        <v>274</v>
      </c>
      <c r="B166" s="1" t="n">
        <v>8</v>
      </c>
      <c r="C166" s="1" t="s">
        <v>47</v>
      </c>
      <c r="D166" s="1" t="n">
        <v>180</v>
      </c>
      <c r="E166" s="1" t="n">
        <v>99</v>
      </c>
    </row>
    <row r="167" customFormat="false" ht="15" hidden="false" customHeight="true" outlineLevel="0" collapsed="false">
      <c r="A167" s="1" t="s">
        <v>274</v>
      </c>
      <c r="B167" s="1" t="n">
        <v>8</v>
      </c>
      <c r="C167" s="1" t="s">
        <v>45</v>
      </c>
      <c r="D167" s="1" t="n">
        <v>7</v>
      </c>
      <c r="E167" s="1" t="n">
        <v>33</v>
      </c>
    </row>
    <row r="168" customFormat="false" ht="15" hidden="false" customHeight="true" outlineLevel="0" collapsed="false">
      <c r="A168" s="1" t="s">
        <v>274</v>
      </c>
      <c r="B168" s="1" t="n">
        <v>8</v>
      </c>
      <c r="C168" s="1" t="s">
        <v>45</v>
      </c>
      <c r="D168" s="1" t="n">
        <v>14</v>
      </c>
      <c r="E168" s="1" t="n">
        <v>65</v>
      </c>
    </row>
    <row r="169" customFormat="false" ht="15" hidden="false" customHeight="true" outlineLevel="0" collapsed="false">
      <c r="A169" s="1" t="s">
        <v>274</v>
      </c>
      <c r="B169" s="1" t="n">
        <v>8</v>
      </c>
      <c r="C169" s="1" t="s">
        <v>45</v>
      </c>
      <c r="D169" s="1" t="n">
        <v>30</v>
      </c>
      <c r="E169" s="1" t="n">
        <v>130</v>
      </c>
    </row>
    <row r="170" customFormat="false" ht="15" hidden="false" customHeight="true" outlineLevel="0" collapsed="false">
      <c r="A170" s="1" t="s">
        <v>274</v>
      </c>
      <c r="B170" s="1" t="n">
        <v>8</v>
      </c>
      <c r="C170" s="1" t="s">
        <v>45</v>
      </c>
      <c r="D170" s="1" t="n">
        <v>45</v>
      </c>
      <c r="E170" s="1" t="n">
        <v>163</v>
      </c>
    </row>
    <row r="171" customFormat="false" ht="15" hidden="false" customHeight="true" outlineLevel="0" collapsed="false">
      <c r="A171" s="1" t="s">
        <v>274</v>
      </c>
      <c r="B171" s="1" t="n">
        <v>8</v>
      </c>
      <c r="C171" s="1" t="s">
        <v>45</v>
      </c>
      <c r="D171" s="1" t="n">
        <v>60</v>
      </c>
      <c r="E171" s="1" t="n">
        <v>164</v>
      </c>
    </row>
    <row r="172" customFormat="false" ht="15" hidden="false" customHeight="true" outlineLevel="0" collapsed="false">
      <c r="A172" s="1" t="s">
        <v>274</v>
      </c>
      <c r="B172" s="1" t="n">
        <v>8</v>
      </c>
      <c r="C172" s="1" t="s">
        <v>45</v>
      </c>
      <c r="D172" s="1" t="n">
        <v>90</v>
      </c>
      <c r="E172" s="1" t="n">
        <v>99</v>
      </c>
    </row>
    <row r="173" customFormat="false" ht="15" hidden="false" customHeight="true" outlineLevel="0" collapsed="false">
      <c r="A173" s="1" t="s">
        <v>274</v>
      </c>
      <c r="B173" s="1" t="n">
        <v>8</v>
      </c>
      <c r="C173" s="1" t="s">
        <v>49</v>
      </c>
      <c r="D173" s="1" t="n">
        <v>0</v>
      </c>
      <c r="E173" s="1" t="n">
        <v>206</v>
      </c>
    </row>
    <row r="174" customFormat="false" ht="15" hidden="false" customHeight="true" outlineLevel="0" collapsed="false">
      <c r="A174" s="1" t="s">
        <v>274</v>
      </c>
      <c r="B174" s="1" t="n">
        <v>8</v>
      </c>
      <c r="C174" s="1" t="s">
        <v>49</v>
      </c>
      <c r="D174" s="1" t="n">
        <v>3</v>
      </c>
      <c r="E174" s="1" t="n">
        <v>173</v>
      </c>
    </row>
    <row r="175" customFormat="false" ht="15" hidden="false" customHeight="true" outlineLevel="0" collapsed="false">
      <c r="A175" s="1" t="s">
        <v>274</v>
      </c>
      <c r="B175" s="1" t="n">
        <v>8</v>
      </c>
      <c r="C175" s="1" t="s">
        <v>49</v>
      </c>
      <c r="D175" s="1" t="n">
        <v>7</v>
      </c>
      <c r="E175" s="1" t="n">
        <v>142</v>
      </c>
    </row>
    <row r="176" customFormat="false" ht="15" hidden="false" customHeight="true" outlineLevel="0" collapsed="false">
      <c r="A176" s="1" t="s">
        <v>274</v>
      </c>
      <c r="B176" s="1" t="n">
        <v>8</v>
      </c>
      <c r="C176" s="1" t="s">
        <v>49</v>
      </c>
      <c r="D176" s="1" t="n">
        <v>14</v>
      </c>
      <c r="E176" s="1" t="n">
        <v>104</v>
      </c>
    </row>
    <row r="177" customFormat="false" ht="15" hidden="false" customHeight="true" outlineLevel="0" collapsed="false">
      <c r="A177" s="1" t="s">
        <v>274</v>
      </c>
      <c r="B177" s="1" t="n">
        <v>8</v>
      </c>
      <c r="C177" s="1" t="s">
        <v>49</v>
      </c>
      <c r="D177" s="1" t="n">
        <v>21</v>
      </c>
      <c r="E177" s="1" t="n">
        <v>70</v>
      </c>
    </row>
    <row r="178" customFormat="false" ht="15" hidden="false" customHeight="true" outlineLevel="0" collapsed="false">
      <c r="A178" s="1" t="s">
        <v>306</v>
      </c>
      <c r="B178" s="1" t="n">
        <v>9</v>
      </c>
      <c r="C178" s="1" t="s">
        <v>43</v>
      </c>
      <c r="D178" s="1" t="n">
        <v>0</v>
      </c>
      <c r="E178" s="1" t="n">
        <v>370</v>
      </c>
    </row>
    <row r="179" customFormat="false" ht="15" hidden="false" customHeight="true" outlineLevel="0" collapsed="false">
      <c r="A179" s="1" t="s">
        <v>306</v>
      </c>
      <c r="B179" s="1" t="n">
        <v>9</v>
      </c>
      <c r="C179" s="1" t="s">
        <v>43</v>
      </c>
      <c r="D179" s="1" t="n">
        <v>3</v>
      </c>
      <c r="E179" s="1" t="n">
        <v>613</v>
      </c>
    </row>
    <row r="180" customFormat="false" ht="15" hidden="false" customHeight="true" outlineLevel="0" collapsed="false">
      <c r="A180" s="1" t="s">
        <v>306</v>
      </c>
      <c r="B180" s="1" t="n">
        <v>9</v>
      </c>
      <c r="C180" s="1" t="s">
        <v>43</v>
      </c>
      <c r="D180" s="1" t="n">
        <v>7</v>
      </c>
      <c r="E180" s="1" t="n">
        <v>616</v>
      </c>
    </row>
    <row r="181" customFormat="false" ht="15" hidden="false" customHeight="true" outlineLevel="0" collapsed="false">
      <c r="A181" s="1" t="s">
        <v>306</v>
      </c>
      <c r="B181" s="1" t="n">
        <v>9</v>
      </c>
      <c r="C181" s="1" t="s">
        <v>43</v>
      </c>
      <c r="D181" s="1" t="n">
        <v>14</v>
      </c>
      <c r="E181" s="1" t="n">
        <v>489</v>
      </c>
    </row>
    <row r="182" customFormat="false" ht="15" hidden="false" customHeight="true" outlineLevel="0" collapsed="false">
      <c r="A182" s="1" t="s">
        <v>306</v>
      </c>
      <c r="B182" s="1" t="n">
        <v>9</v>
      </c>
      <c r="C182" s="1" t="s">
        <v>43</v>
      </c>
      <c r="D182" s="1" t="n">
        <v>21</v>
      </c>
      <c r="E182" s="1" t="n">
        <v>243</v>
      </c>
    </row>
    <row r="183" customFormat="false" ht="15" hidden="false" customHeight="true" outlineLevel="0" collapsed="false">
      <c r="A183" s="1" t="s">
        <v>306</v>
      </c>
      <c r="B183" s="1" t="n">
        <v>9</v>
      </c>
      <c r="C183" s="1" t="s">
        <v>43</v>
      </c>
      <c r="D183" s="1" t="n">
        <v>30</v>
      </c>
      <c r="E183" s="1" t="n">
        <v>124</v>
      </c>
    </row>
    <row r="184" customFormat="false" ht="15" hidden="false" customHeight="true" outlineLevel="0" collapsed="false">
      <c r="A184" s="1" t="s">
        <v>306</v>
      </c>
      <c r="B184" s="1" t="n">
        <v>9</v>
      </c>
      <c r="C184" s="1" t="s">
        <v>47</v>
      </c>
      <c r="D184" s="1" t="n">
        <v>30</v>
      </c>
      <c r="E184" s="1" t="n">
        <v>80</v>
      </c>
    </row>
    <row r="185" customFormat="false" ht="15" hidden="false" customHeight="true" outlineLevel="0" collapsed="false">
      <c r="A185" s="1" t="s">
        <v>306</v>
      </c>
      <c r="B185" s="1" t="n">
        <v>9</v>
      </c>
      <c r="C185" s="1" t="s">
        <v>47</v>
      </c>
      <c r="D185" s="1" t="n">
        <v>60</v>
      </c>
      <c r="E185" s="1" t="n">
        <v>163</v>
      </c>
    </row>
    <row r="186" customFormat="false" ht="15" hidden="false" customHeight="true" outlineLevel="0" collapsed="false">
      <c r="A186" s="1" t="s">
        <v>306</v>
      </c>
      <c r="B186" s="1" t="n">
        <v>9</v>
      </c>
      <c r="C186" s="1" t="s">
        <v>47</v>
      </c>
      <c r="D186" s="1" t="n">
        <v>90</v>
      </c>
      <c r="E186" s="1" t="n">
        <v>205</v>
      </c>
    </row>
    <row r="187" customFormat="false" ht="15" hidden="false" customHeight="true" outlineLevel="0" collapsed="false">
      <c r="A187" s="1" t="s">
        <v>306</v>
      </c>
      <c r="B187" s="1" t="n">
        <v>9</v>
      </c>
      <c r="C187" s="1" t="s">
        <v>47</v>
      </c>
      <c r="D187" s="1" t="n">
        <v>120</v>
      </c>
      <c r="E187" s="1" t="n">
        <v>204</v>
      </c>
    </row>
    <row r="188" customFormat="false" ht="15" hidden="false" customHeight="true" outlineLevel="0" collapsed="false">
      <c r="A188" s="1" t="s">
        <v>306</v>
      </c>
      <c r="B188" s="1" t="n">
        <v>9</v>
      </c>
      <c r="C188" s="1" t="s">
        <v>47</v>
      </c>
      <c r="D188" s="1" t="n">
        <v>180</v>
      </c>
      <c r="E188" s="1" t="n">
        <v>164</v>
      </c>
    </row>
    <row r="189" customFormat="false" ht="15" hidden="false" customHeight="true" outlineLevel="0" collapsed="false">
      <c r="A189" s="1" t="s">
        <v>306</v>
      </c>
      <c r="B189" s="1" t="n">
        <v>9</v>
      </c>
      <c r="C189" s="1" t="s">
        <v>45</v>
      </c>
      <c r="D189" s="1" t="n">
        <v>7</v>
      </c>
      <c r="E189" s="1" t="n">
        <v>48</v>
      </c>
    </row>
    <row r="190" customFormat="false" ht="15" hidden="false" customHeight="true" outlineLevel="0" collapsed="false">
      <c r="A190" s="1" t="s">
        <v>306</v>
      </c>
      <c r="B190" s="1" t="n">
        <v>9</v>
      </c>
      <c r="C190" s="1" t="s">
        <v>45</v>
      </c>
      <c r="D190" s="1" t="n">
        <v>14</v>
      </c>
      <c r="E190" s="1" t="n">
        <v>96</v>
      </c>
    </row>
    <row r="191" customFormat="false" ht="15" hidden="false" customHeight="true" outlineLevel="0" collapsed="false">
      <c r="A191" s="1" t="s">
        <v>306</v>
      </c>
      <c r="B191" s="1" t="n">
        <v>9</v>
      </c>
      <c r="C191" s="1" t="s">
        <v>45</v>
      </c>
      <c r="D191" s="1" t="n">
        <v>30</v>
      </c>
      <c r="E191" s="1" t="n">
        <v>192</v>
      </c>
    </row>
    <row r="192" customFormat="false" ht="15" hidden="false" customHeight="true" outlineLevel="0" collapsed="false">
      <c r="A192" s="1" t="s">
        <v>306</v>
      </c>
      <c r="B192" s="1" t="n">
        <v>9</v>
      </c>
      <c r="C192" s="1" t="s">
        <v>45</v>
      </c>
      <c r="D192" s="1" t="n">
        <v>45</v>
      </c>
      <c r="E192" s="1" t="n">
        <v>239</v>
      </c>
    </row>
    <row r="193" customFormat="false" ht="15" hidden="false" customHeight="true" outlineLevel="0" collapsed="false">
      <c r="A193" s="1" t="s">
        <v>306</v>
      </c>
      <c r="B193" s="1" t="n">
        <v>9</v>
      </c>
      <c r="C193" s="1" t="s">
        <v>45</v>
      </c>
      <c r="D193" s="1" t="n">
        <v>60</v>
      </c>
      <c r="E193" s="1" t="n">
        <v>242</v>
      </c>
    </row>
    <row r="194" customFormat="false" ht="15" hidden="false" customHeight="true" outlineLevel="0" collapsed="false">
      <c r="A194" s="1" t="s">
        <v>306</v>
      </c>
      <c r="B194" s="1" t="n">
        <v>9</v>
      </c>
      <c r="C194" s="1" t="s">
        <v>45</v>
      </c>
      <c r="D194" s="1" t="n">
        <v>90</v>
      </c>
      <c r="E194" s="1" t="n">
        <v>143</v>
      </c>
    </row>
    <row r="195" customFormat="false" ht="15" hidden="false" customHeight="true" outlineLevel="0" collapsed="false">
      <c r="A195" s="1" t="s">
        <v>306</v>
      </c>
      <c r="B195" s="1" t="n">
        <v>9</v>
      </c>
      <c r="C195" s="1" t="s">
        <v>49</v>
      </c>
      <c r="D195" s="1" t="n">
        <v>0</v>
      </c>
      <c r="E195" s="1" t="n">
        <v>311</v>
      </c>
    </row>
    <row r="196" customFormat="false" ht="15" hidden="false" customHeight="true" outlineLevel="0" collapsed="false">
      <c r="A196" s="1" t="s">
        <v>306</v>
      </c>
      <c r="B196" s="1" t="n">
        <v>9</v>
      </c>
      <c r="C196" s="1" t="s">
        <v>49</v>
      </c>
      <c r="D196" s="1" t="n">
        <v>3</v>
      </c>
      <c r="E196" s="1" t="n">
        <v>259</v>
      </c>
    </row>
    <row r="197" customFormat="false" ht="15" hidden="false" customHeight="true" outlineLevel="0" collapsed="false">
      <c r="A197" s="1" t="s">
        <v>306</v>
      </c>
      <c r="B197" s="1" t="n">
        <v>9</v>
      </c>
      <c r="C197" s="1" t="s">
        <v>49</v>
      </c>
      <c r="D197" s="1" t="n">
        <v>7</v>
      </c>
      <c r="E197" s="1" t="n">
        <v>208</v>
      </c>
    </row>
    <row r="198" customFormat="false" ht="15" hidden="false" customHeight="true" outlineLevel="0" collapsed="false">
      <c r="A198" s="1" t="s">
        <v>306</v>
      </c>
      <c r="B198" s="1" t="n">
        <v>9</v>
      </c>
      <c r="C198" s="1" t="s">
        <v>49</v>
      </c>
      <c r="D198" s="1" t="n">
        <v>14</v>
      </c>
      <c r="E198" s="1" t="n">
        <v>157</v>
      </c>
    </row>
    <row r="199" customFormat="false" ht="15" hidden="false" customHeight="true" outlineLevel="0" collapsed="false">
      <c r="A199" s="1" t="s">
        <v>306</v>
      </c>
      <c r="B199" s="1" t="n">
        <v>9</v>
      </c>
      <c r="C199" s="1" t="s">
        <v>49</v>
      </c>
      <c r="D199" s="1" t="n">
        <v>21</v>
      </c>
      <c r="E199" s="1" t="n">
        <v>105</v>
      </c>
    </row>
    <row r="200" customFormat="false" ht="15" hidden="false" customHeight="true" outlineLevel="0" collapsed="false">
      <c r="A200" s="1" t="s">
        <v>337</v>
      </c>
      <c r="B200" s="1" t="n">
        <v>10</v>
      </c>
      <c r="C200" s="1" t="s">
        <v>43</v>
      </c>
      <c r="D200" s="1" t="n">
        <v>0</v>
      </c>
      <c r="E200" s="1" t="n">
        <v>386</v>
      </c>
    </row>
    <row r="201" customFormat="false" ht="15" hidden="false" customHeight="true" outlineLevel="0" collapsed="false">
      <c r="A201" s="1" t="s">
        <v>337</v>
      </c>
      <c r="B201" s="1" t="n">
        <v>10</v>
      </c>
      <c r="C201" s="1" t="s">
        <v>43</v>
      </c>
      <c r="D201" s="1" t="n">
        <v>3</v>
      </c>
      <c r="E201" s="1" t="n">
        <v>648</v>
      </c>
    </row>
    <row r="202" customFormat="false" ht="15" hidden="false" customHeight="true" outlineLevel="0" collapsed="false">
      <c r="A202" s="1" t="s">
        <v>337</v>
      </c>
      <c r="B202" s="1" t="n">
        <v>10</v>
      </c>
      <c r="C202" s="1" t="s">
        <v>43</v>
      </c>
      <c r="D202" s="1" t="n">
        <v>7</v>
      </c>
      <c r="E202" s="1" t="n">
        <v>647</v>
      </c>
    </row>
    <row r="203" customFormat="false" ht="15" hidden="false" customHeight="true" outlineLevel="0" collapsed="false">
      <c r="A203" s="1" t="s">
        <v>337</v>
      </c>
      <c r="B203" s="1" t="n">
        <v>10</v>
      </c>
      <c r="C203" s="1" t="s">
        <v>43</v>
      </c>
      <c r="D203" s="1" t="n">
        <v>14</v>
      </c>
      <c r="E203" s="1" t="n">
        <v>516</v>
      </c>
    </row>
    <row r="204" customFormat="false" ht="15" hidden="false" customHeight="true" outlineLevel="0" collapsed="false">
      <c r="A204" s="1" t="s">
        <v>337</v>
      </c>
      <c r="B204" s="1" t="n">
        <v>10</v>
      </c>
      <c r="C204" s="1" t="s">
        <v>43</v>
      </c>
      <c r="D204" s="1" t="n">
        <v>21</v>
      </c>
      <c r="E204" s="1" t="n">
        <v>256</v>
      </c>
    </row>
    <row r="205" customFormat="false" ht="15" hidden="false" customHeight="true" outlineLevel="0" collapsed="false">
      <c r="A205" s="1" t="s">
        <v>337</v>
      </c>
      <c r="B205" s="1" t="n">
        <v>10</v>
      </c>
      <c r="C205" s="1" t="s">
        <v>43</v>
      </c>
      <c r="D205" s="1" t="n">
        <v>30</v>
      </c>
      <c r="E205" s="1" t="n">
        <v>127</v>
      </c>
    </row>
    <row r="206" customFormat="false" ht="15" hidden="false" customHeight="true" outlineLevel="0" collapsed="false">
      <c r="A206" s="1" t="s">
        <v>337</v>
      </c>
      <c r="B206" s="1" t="n">
        <v>10</v>
      </c>
      <c r="C206" s="1" t="s">
        <v>47</v>
      </c>
      <c r="D206" s="1" t="n">
        <v>30</v>
      </c>
      <c r="E206" s="1" t="n">
        <v>86</v>
      </c>
    </row>
    <row r="207" customFormat="false" ht="15" hidden="false" customHeight="true" outlineLevel="0" collapsed="false">
      <c r="A207" s="1" t="s">
        <v>337</v>
      </c>
      <c r="B207" s="1" t="n">
        <v>10</v>
      </c>
      <c r="C207" s="1" t="s">
        <v>47</v>
      </c>
      <c r="D207" s="1" t="n">
        <v>60</v>
      </c>
      <c r="E207" s="1" t="n">
        <v>173</v>
      </c>
    </row>
    <row r="208" customFormat="false" ht="15" hidden="false" customHeight="true" outlineLevel="0" collapsed="false">
      <c r="A208" s="1" t="s">
        <v>337</v>
      </c>
      <c r="B208" s="1" t="n">
        <v>10</v>
      </c>
      <c r="C208" s="1" t="s">
        <v>47</v>
      </c>
      <c r="D208" s="1" t="n">
        <v>90</v>
      </c>
      <c r="E208" s="1" t="n">
        <v>214</v>
      </c>
    </row>
    <row r="209" customFormat="false" ht="15" hidden="false" customHeight="true" outlineLevel="0" collapsed="false">
      <c r="A209" s="1" t="s">
        <v>337</v>
      </c>
      <c r="B209" s="1" t="n">
        <v>10</v>
      </c>
      <c r="C209" s="1" t="s">
        <v>47</v>
      </c>
      <c r="D209" s="1" t="n">
        <v>120</v>
      </c>
      <c r="E209" s="1" t="n">
        <v>216</v>
      </c>
    </row>
    <row r="210" customFormat="false" ht="15" hidden="false" customHeight="true" outlineLevel="0" collapsed="false">
      <c r="A210" s="1" t="s">
        <v>337</v>
      </c>
      <c r="B210" s="1" t="n">
        <v>10</v>
      </c>
      <c r="C210" s="1" t="s">
        <v>47</v>
      </c>
      <c r="D210" s="1" t="n">
        <v>180</v>
      </c>
      <c r="E210" s="1" t="n">
        <v>172</v>
      </c>
    </row>
    <row r="211" customFormat="false" ht="15" hidden="false" customHeight="true" outlineLevel="0" collapsed="false">
      <c r="A211" s="1" t="s">
        <v>337</v>
      </c>
      <c r="B211" s="1" t="n">
        <v>10</v>
      </c>
      <c r="C211" s="1" t="s">
        <v>45</v>
      </c>
      <c r="D211" s="1" t="n">
        <v>7</v>
      </c>
      <c r="E211" s="1" t="n">
        <v>51</v>
      </c>
    </row>
    <row r="212" customFormat="false" ht="15" hidden="false" customHeight="true" outlineLevel="0" collapsed="false">
      <c r="A212" s="1" t="s">
        <v>337</v>
      </c>
      <c r="B212" s="1" t="n">
        <v>10</v>
      </c>
      <c r="C212" s="1" t="s">
        <v>45</v>
      </c>
      <c r="D212" s="1" t="n">
        <v>14</v>
      </c>
      <c r="E212" s="1" t="n">
        <v>102</v>
      </c>
    </row>
    <row r="213" customFormat="false" ht="15" hidden="false" customHeight="true" outlineLevel="0" collapsed="false">
      <c r="A213" s="1" t="s">
        <v>337</v>
      </c>
      <c r="B213" s="1" t="n">
        <v>10</v>
      </c>
      <c r="C213" s="1" t="s">
        <v>45</v>
      </c>
      <c r="D213" s="1" t="n">
        <v>30</v>
      </c>
      <c r="E213" s="1" t="n">
        <v>200</v>
      </c>
    </row>
    <row r="214" customFormat="false" ht="15" hidden="false" customHeight="true" outlineLevel="0" collapsed="false">
      <c r="A214" s="1" t="s">
        <v>337</v>
      </c>
      <c r="B214" s="1" t="n">
        <v>10</v>
      </c>
      <c r="C214" s="1" t="s">
        <v>45</v>
      </c>
      <c r="D214" s="1" t="n">
        <v>45</v>
      </c>
      <c r="E214" s="1" t="n">
        <v>251</v>
      </c>
    </row>
    <row r="215" customFormat="false" ht="15" hidden="false" customHeight="true" outlineLevel="0" collapsed="false">
      <c r="A215" s="1" t="s">
        <v>337</v>
      </c>
      <c r="B215" s="1" t="n">
        <v>10</v>
      </c>
      <c r="C215" s="1" t="s">
        <v>45</v>
      </c>
      <c r="D215" s="1" t="n">
        <v>60</v>
      </c>
      <c r="E215" s="1" t="n">
        <v>252</v>
      </c>
    </row>
    <row r="216" customFormat="false" ht="15" hidden="false" customHeight="true" outlineLevel="0" collapsed="false">
      <c r="A216" s="1" t="s">
        <v>337</v>
      </c>
      <c r="B216" s="1" t="n">
        <v>10</v>
      </c>
      <c r="C216" s="1" t="s">
        <v>45</v>
      </c>
      <c r="D216" s="1" t="n">
        <v>90</v>
      </c>
      <c r="E216" s="1" t="n">
        <v>150</v>
      </c>
    </row>
    <row r="217" customFormat="false" ht="15" hidden="false" customHeight="true" outlineLevel="0" collapsed="false">
      <c r="A217" s="1" t="s">
        <v>337</v>
      </c>
      <c r="B217" s="1" t="n">
        <v>10</v>
      </c>
      <c r="C217" s="1" t="s">
        <v>49</v>
      </c>
      <c r="D217" s="1" t="n">
        <v>0</v>
      </c>
      <c r="E217" s="1" t="n">
        <v>331</v>
      </c>
    </row>
    <row r="218" customFormat="false" ht="15" hidden="false" customHeight="true" outlineLevel="0" collapsed="false">
      <c r="A218" s="1" t="s">
        <v>337</v>
      </c>
      <c r="B218" s="1" t="n">
        <v>10</v>
      </c>
      <c r="C218" s="1" t="s">
        <v>49</v>
      </c>
      <c r="D218" s="1" t="n">
        <v>3</v>
      </c>
      <c r="E218" s="1" t="n">
        <v>269</v>
      </c>
    </row>
    <row r="219" customFormat="false" ht="15" hidden="false" customHeight="true" outlineLevel="0" collapsed="false">
      <c r="A219" s="1" t="s">
        <v>337</v>
      </c>
      <c r="B219" s="1" t="n">
        <v>10</v>
      </c>
      <c r="C219" s="1" t="s">
        <v>49</v>
      </c>
      <c r="D219" s="1" t="n">
        <v>7</v>
      </c>
      <c r="E219" s="1" t="n">
        <v>218</v>
      </c>
    </row>
    <row r="220" customFormat="false" ht="15" hidden="false" customHeight="true" outlineLevel="0" collapsed="false">
      <c r="A220" s="1" t="s">
        <v>337</v>
      </c>
      <c r="B220" s="1" t="n">
        <v>10</v>
      </c>
      <c r="C220" s="1" t="s">
        <v>49</v>
      </c>
      <c r="D220" s="1" t="n">
        <v>14</v>
      </c>
      <c r="E220" s="1" t="n">
        <v>163</v>
      </c>
    </row>
    <row r="221" customFormat="false" ht="15" hidden="false" customHeight="true" outlineLevel="0" collapsed="false">
      <c r="A221" s="1" t="s">
        <v>337</v>
      </c>
      <c r="B221" s="1" t="n">
        <v>10</v>
      </c>
      <c r="C221" s="1" t="s">
        <v>49</v>
      </c>
      <c r="D221" s="1" t="n">
        <v>21</v>
      </c>
      <c r="E221" s="1" t="n">
        <v>110</v>
      </c>
    </row>
    <row r="222" customFormat="false" ht="15" hidden="false" customHeight="true" outlineLevel="0" collapsed="false">
      <c r="A222" s="1" t="s">
        <v>369</v>
      </c>
      <c r="B222" s="1" t="n">
        <v>11</v>
      </c>
      <c r="C222" s="1" t="s">
        <v>43</v>
      </c>
      <c r="D222" s="1" t="n">
        <v>0</v>
      </c>
      <c r="E222" s="1" t="n">
        <v>335</v>
      </c>
    </row>
    <row r="223" customFormat="false" ht="15" hidden="false" customHeight="true" outlineLevel="0" collapsed="false">
      <c r="A223" s="1" t="s">
        <v>369</v>
      </c>
      <c r="B223" s="1" t="n">
        <v>11</v>
      </c>
      <c r="C223" s="1" t="s">
        <v>43</v>
      </c>
      <c r="D223" s="1" t="n">
        <v>3</v>
      </c>
      <c r="E223" s="1" t="n">
        <v>560</v>
      </c>
    </row>
    <row r="224" customFormat="false" ht="15" hidden="false" customHeight="true" outlineLevel="0" collapsed="false">
      <c r="A224" s="1" t="s">
        <v>369</v>
      </c>
      <c r="B224" s="1" t="n">
        <v>11</v>
      </c>
      <c r="C224" s="1" t="s">
        <v>43</v>
      </c>
      <c r="D224" s="1" t="n">
        <v>7</v>
      </c>
      <c r="E224" s="1" t="n">
        <v>552</v>
      </c>
    </row>
    <row r="225" customFormat="false" ht="15" hidden="false" customHeight="true" outlineLevel="0" collapsed="false">
      <c r="A225" s="1" t="s">
        <v>369</v>
      </c>
      <c r="B225" s="1" t="n">
        <v>11</v>
      </c>
      <c r="C225" s="1" t="s">
        <v>43</v>
      </c>
      <c r="D225" s="1" t="n">
        <v>14</v>
      </c>
      <c r="E225" s="1" t="n">
        <v>448</v>
      </c>
    </row>
    <row r="226" customFormat="false" ht="15" hidden="false" customHeight="true" outlineLevel="0" collapsed="false">
      <c r="A226" s="1" t="s">
        <v>369</v>
      </c>
      <c r="B226" s="1" t="n">
        <v>11</v>
      </c>
      <c r="C226" s="1" t="s">
        <v>43</v>
      </c>
      <c r="D226" s="1" t="n">
        <v>21</v>
      </c>
      <c r="E226" s="1" t="n">
        <v>226</v>
      </c>
    </row>
    <row r="227" customFormat="false" ht="15" hidden="false" customHeight="true" outlineLevel="0" collapsed="false">
      <c r="A227" s="1" t="s">
        <v>369</v>
      </c>
      <c r="B227" s="1" t="n">
        <v>11</v>
      </c>
      <c r="C227" s="1" t="s">
        <v>43</v>
      </c>
      <c r="D227" s="1" t="n">
        <v>30</v>
      </c>
      <c r="E227" s="1" t="n">
        <v>112</v>
      </c>
    </row>
    <row r="228" customFormat="false" ht="15" hidden="false" customHeight="true" outlineLevel="0" collapsed="false">
      <c r="A228" s="1" t="s">
        <v>369</v>
      </c>
      <c r="B228" s="1" t="n">
        <v>11</v>
      </c>
      <c r="C228" s="1" t="s">
        <v>47</v>
      </c>
      <c r="D228" s="1" t="n">
        <v>30</v>
      </c>
      <c r="E228" s="1" t="n">
        <v>73</v>
      </c>
    </row>
    <row r="229" customFormat="false" ht="15" hidden="false" customHeight="true" outlineLevel="0" collapsed="false">
      <c r="A229" s="1" t="s">
        <v>369</v>
      </c>
      <c r="B229" s="1" t="n">
        <v>11</v>
      </c>
      <c r="C229" s="1" t="s">
        <v>47</v>
      </c>
      <c r="D229" s="1" t="n">
        <v>60</v>
      </c>
      <c r="E229" s="1" t="n">
        <v>148</v>
      </c>
    </row>
    <row r="230" customFormat="false" ht="15" hidden="false" customHeight="true" outlineLevel="0" collapsed="false">
      <c r="A230" s="1" t="s">
        <v>369</v>
      </c>
      <c r="B230" s="1" t="n">
        <v>11</v>
      </c>
      <c r="C230" s="1" t="s">
        <v>47</v>
      </c>
      <c r="D230" s="1" t="n">
        <v>90</v>
      </c>
      <c r="E230" s="1" t="n">
        <v>184</v>
      </c>
    </row>
    <row r="231" customFormat="false" ht="15" hidden="false" customHeight="true" outlineLevel="0" collapsed="false">
      <c r="A231" s="1" t="s">
        <v>369</v>
      </c>
      <c r="B231" s="1" t="n">
        <v>11</v>
      </c>
      <c r="C231" s="1" t="s">
        <v>47</v>
      </c>
      <c r="D231" s="1" t="n">
        <v>120</v>
      </c>
      <c r="E231" s="1" t="n">
        <v>183</v>
      </c>
    </row>
    <row r="232" customFormat="false" ht="15" hidden="false" customHeight="true" outlineLevel="0" collapsed="false">
      <c r="A232" s="1" t="s">
        <v>369</v>
      </c>
      <c r="B232" s="1" t="n">
        <v>11</v>
      </c>
      <c r="C232" s="1" t="s">
        <v>47</v>
      </c>
      <c r="D232" s="1" t="n">
        <v>180</v>
      </c>
      <c r="E232" s="1" t="n">
        <v>148</v>
      </c>
    </row>
    <row r="233" customFormat="false" ht="15" hidden="false" customHeight="true" outlineLevel="0" collapsed="false">
      <c r="A233" s="1" t="s">
        <v>369</v>
      </c>
      <c r="B233" s="1" t="n">
        <v>11</v>
      </c>
      <c r="C233" s="1" t="s">
        <v>45</v>
      </c>
      <c r="D233" s="1" t="n">
        <v>7</v>
      </c>
      <c r="E233" s="1" t="n">
        <v>50</v>
      </c>
    </row>
    <row r="234" customFormat="false" ht="15" hidden="false" customHeight="true" outlineLevel="0" collapsed="false">
      <c r="A234" s="1" t="s">
        <v>369</v>
      </c>
      <c r="B234" s="1" t="n">
        <v>11</v>
      </c>
      <c r="C234" s="1" t="s">
        <v>45</v>
      </c>
      <c r="D234" s="1" t="n">
        <v>14</v>
      </c>
      <c r="E234" s="1" t="n">
        <v>99</v>
      </c>
    </row>
    <row r="235" customFormat="false" ht="15" hidden="false" customHeight="true" outlineLevel="0" collapsed="false">
      <c r="A235" s="1" t="s">
        <v>369</v>
      </c>
      <c r="B235" s="1" t="n">
        <v>11</v>
      </c>
      <c r="C235" s="1" t="s">
        <v>45</v>
      </c>
      <c r="D235" s="1" t="n">
        <v>30</v>
      </c>
      <c r="E235" s="1" t="n">
        <v>198</v>
      </c>
    </row>
    <row r="236" customFormat="false" ht="15" hidden="false" customHeight="true" outlineLevel="0" collapsed="false">
      <c r="A236" s="1" t="s">
        <v>369</v>
      </c>
      <c r="B236" s="1" t="n">
        <v>11</v>
      </c>
      <c r="C236" s="1" t="s">
        <v>45</v>
      </c>
      <c r="D236" s="1" t="n">
        <v>45</v>
      </c>
      <c r="E236" s="1" t="n">
        <v>246</v>
      </c>
    </row>
    <row r="237" customFormat="false" ht="15" hidden="false" customHeight="true" outlineLevel="0" collapsed="false">
      <c r="A237" s="1" t="s">
        <v>369</v>
      </c>
      <c r="B237" s="1" t="n">
        <v>11</v>
      </c>
      <c r="C237" s="1" t="s">
        <v>45</v>
      </c>
      <c r="D237" s="1" t="n">
        <v>60</v>
      </c>
      <c r="E237" s="1" t="n">
        <v>246</v>
      </c>
    </row>
    <row r="238" customFormat="false" ht="15" hidden="false" customHeight="true" outlineLevel="0" collapsed="false">
      <c r="A238" s="1" t="s">
        <v>369</v>
      </c>
      <c r="B238" s="1" t="n">
        <v>11</v>
      </c>
      <c r="C238" s="1" t="s">
        <v>45</v>
      </c>
      <c r="D238" s="1" t="n">
        <v>90</v>
      </c>
      <c r="E238" s="1" t="n">
        <v>150</v>
      </c>
    </row>
    <row r="239" customFormat="false" ht="15" hidden="false" customHeight="true" outlineLevel="0" collapsed="false">
      <c r="A239" s="1" t="s">
        <v>369</v>
      </c>
      <c r="B239" s="1" t="n">
        <v>11</v>
      </c>
      <c r="C239" s="1" t="s">
        <v>49</v>
      </c>
      <c r="D239" s="1" t="n">
        <v>0</v>
      </c>
      <c r="E239" s="1" t="n">
        <v>306</v>
      </c>
    </row>
    <row r="240" customFormat="false" ht="15" hidden="false" customHeight="true" outlineLevel="0" collapsed="false">
      <c r="A240" s="1" t="s">
        <v>369</v>
      </c>
      <c r="B240" s="1" t="n">
        <v>11</v>
      </c>
      <c r="C240" s="1" t="s">
        <v>49</v>
      </c>
      <c r="D240" s="1" t="n">
        <v>3</v>
      </c>
      <c r="E240" s="1" t="n">
        <v>260</v>
      </c>
    </row>
    <row r="241" customFormat="false" ht="15" hidden="false" customHeight="true" outlineLevel="0" collapsed="false">
      <c r="A241" s="1" t="s">
        <v>369</v>
      </c>
      <c r="B241" s="1" t="n">
        <v>11</v>
      </c>
      <c r="C241" s="1" t="s">
        <v>49</v>
      </c>
      <c r="D241" s="1" t="n">
        <v>7</v>
      </c>
      <c r="E241" s="1" t="n">
        <v>207</v>
      </c>
    </row>
    <row r="242" customFormat="false" ht="15" hidden="false" customHeight="true" outlineLevel="0" collapsed="false">
      <c r="A242" s="1" t="s">
        <v>369</v>
      </c>
      <c r="B242" s="1" t="n">
        <v>11</v>
      </c>
      <c r="C242" s="1" t="s">
        <v>49</v>
      </c>
      <c r="D242" s="1" t="n">
        <v>14</v>
      </c>
      <c r="E242" s="1" t="n">
        <v>153</v>
      </c>
    </row>
    <row r="243" customFormat="false" ht="15" hidden="false" customHeight="true" outlineLevel="0" collapsed="false">
      <c r="A243" s="1" t="s">
        <v>369</v>
      </c>
      <c r="B243" s="1" t="n">
        <v>11</v>
      </c>
      <c r="C243" s="1" t="s">
        <v>49</v>
      </c>
      <c r="D243" s="1" t="n">
        <v>21</v>
      </c>
      <c r="E243" s="1" t="n">
        <v>102</v>
      </c>
    </row>
    <row r="244" customFormat="false" ht="15" hidden="false" customHeight="true" outlineLevel="0" collapsed="false">
      <c r="A244" s="1" t="s">
        <v>400</v>
      </c>
      <c r="B244" s="1" t="n">
        <v>12</v>
      </c>
      <c r="C244" s="1" t="s">
        <v>43</v>
      </c>
      <c r="D244" s="1" t="n">
        <v>0</v>
      </c>
      <c r="E244" s="1" t="n">
        <v>295</v>
      </c>
    </row>
    <row r="245" customFormat="false" ht="15" hidden="false" customHeight="true" outlineLevel="0" collapsed="false">
      <c r="A245" s="1" t="s">
        <v>400</v>
      </c>
      <c r="B245" s="1" t="n">
        <v>12</v>
      </c>
      <c r="C245" s="1" t="s">
        <v>43</v>
      </c>
      <c r="D245" s="1" t="n">
        <v>3</v>
      </c>
      <c r="E245" s="1" t="n">
        <v>499</v>
      </c>
    </row>
    <row r="246" customFormat="false" ht="15" hidden="false" customHeight="true" outlineLevel="0" collapsed="false">
      <c r="A246" s="1" t="s">
        <v>400</v>
      </c>
      <c r="B246" s="1" t="n">
        <v>12</v>
      </c>
      <c r="C246" s="1" t="s">
        <v>43</v>
      </c>
      <c r="D246" s="1" t="n">
        <v>7</v>
      </c>
      <c r="E246" s="1" t="n">
        <v>494</v>
      </c>
    </row>
    <row r="247" customFormat="false" ht="15" hidden="false" customHeight="true" outlineLevel="0" collapsed="false">
      <c r="A247" s="1" t="s">
        <v>400</v>
      </c>
      <c r="B247" s="1" t="n">
        <v>12</v>
      </c>
      <c r="C247" s="1" t="s">
        <v>43</v>
      </c>
      <c r="D247" s="1" t="n">
        <v>14</v>
      </c>
      <c r="E247" s="1" t="n">
        <v>403</v>
      </c>
    </row>
    <row r="248" customFormat="false" ht="15" hidden="false" customHeight="true" outlineLevel="0" collapsed="false">
      <c r="A248" s="1" t="s">
        <v>400</v>
      </c>
      <c r="B248" s="1" t="n">
        <v>12</v>
      </c>
      <c r="C248" s="1" t="s">
        <v>43</v>
      </c>
      <c r="D248" s="1" t="n">
        <v>21</v>
      </c>
      <c r="E248" s="1" t="n">
        <v>200</v>
      </c>
    </row>
    <row r="249" customFormat="false" ht="15" hidden="false" customHeight="true" outlineLevel="0" collapsed="false">
      <c r="A249" s="1" t="s">
        <v>400</v>
      </c>
      <c r="B249" s="1" t="n">
        <v>12</v>
      </c>
      <c r="C249" s="1" t="s">
        <v>43</v>
      </c>
      <c r="D249" s="1" t="n">
        <v>30</v>
      </c>
      <c r="E249" s="1" t="n">
        <v>99</v>
      </c>
    </row>
    <row r="250" customFormat="false" ht="15" hidden="false" customHeight="true" outlineLevel="0" collapsed="false">
      <c r="A250" s="1" t="s">
        <v>400</v>
      </c>
      <c r="B250" s="1" t="n">
        <v>12</v>
      </c>
      <c r="C250" s="1" t="s">
        <v>47</v>
      </c>
      <c r="D250" s="1" t="n">
        <v>30</v>
      </c>
      <c r="E250" s="1" t="n">
        <v>68</v>
      </c>
    </row>
    <row r="251" customFormat="false" ht="15" hidden="false" customHeight="true" outlineLevel="0" collapsed="false">
      <c r="A251" s="1" t="s">
        <v>400</v>
      </c>
      <c r="B251" s="1" t="n">
        <v>12</v>
      </c>
      <c r="C251" s="1" t="s">
        <v>47</v>
      </c>
      <c r="D251" s="1" t="n">
        <v>60</v>
      </c>
      <c r="E251" s="1" t="n">
        <v>137</v>
      </c>
    </row>
    <row r="252" customFormat="false" ht="15" hidden="false" customHeight="true" outlineLevel="0" collapsed="false">
      <c r="A252" s="1" t="s">
        <v>400</v>
      </c>
      <c r="B252" s="1" t="n">
        <v>12</v>
      </c>
      <c r="C252" s="1" t="s">
        <v>47</v>
      </c>
      <c r="D252" s="1" t="n">
        <v>90</v>
      </c>
      <c r="E252" s="1" t="n">
        <v>170</v>
      </c>
    </row>
    <row r="253" customFormat="false" ht="15" hidden="false" customHeight="true" outlineLevel="0" collapsed="false">
      <c r="A253" s="1" t="s">
        <v>400</v>
      </c>
      <c r="B253" s="1" t="n">
        <v>12</v>
      </c>
      <c r="C253" s="1" t="s">
        <v>47</v>
      </c>
      <c r="D253" s="1" t="n">
        <v>120</v>
      </c>
      <c r="E253" s="1" t="n">
        <v>169</v>
      </c>
    </row>
    <row r="254" customFormat="false" ht="15" hidden="false" customHeight="true" outlineLevel="0" collapsed="false">
      <c r="A254" s="1" t="s">
        <v>400</v>
      </c>
      <c r="B254" s="1" t="n">
        <v>12</v>
      </c>
      <c r="C254" s="1" t="s">
        <v>47</v>
      </c>
      <c r="D254" s="1" t="n">
        <v>180</v>
      </c>
      <c r="E254" s="1" t="n">
        <v>136</v>
      </c>
    </row>
    <row r="255" customFormat="false" ht="15" hidden="false" customHeight="true" outlineLevel="0" collapsed="false">
      <c r="A255" s="1" t="s">
        <v>400</v>
      </c>
      <c r="B255" s="1" t="n">
        <v>12</v>
      </c>
      <c r="C255" s="1" t="s">
        <v>45</v>
      </c>
      <c r="D255" s="1" t="n">
        <v>7</v>
      </c>
      <c r="E255" s="1" t="n">
        <v>40</v>
      </c>
    </row>
    <row r="256" customFormat="false" ht="15" hidden="false" customHeight="true" outlineLevel="0" collapsed="false">
      <c r="A256" s="1" t="s">
        <v>400</v>
      </c>
      <c r="B256" s="1" t="n">
        <v>12</v>
      </c>
      <c r="C256" s="1" t="s">
        <v>45</v>
      </c>
      <c r="D256" s="1" t="n">
        <v>14</v>
      </c>
      <c r="E256" s="1" t="n">
        <v>79</v>
      </c>
    </row>
    <row r="257" customFormat="false" ht="15" hidden="false" customHeight="true" outlineLevel="0" collapsed="false">
      <c r="A257" s="1" t="s">
        <v>400</v>
      </c>
      <c r="B257" s="1" t="n">
        <v>12</v>
      </c>
      <c r="C257" s="1" t="s">
        <v>45</v>
      </c>
      <c r="D257" s="1" t="n">
        <v>30</v>
      </c>
      <c r="E257" s="1" t="n">
        <v>159</v>
      </c>
    </row>
    <row r="258" customFormat="false" ht="15" hidden="false" customHeight="true" outlineLevel="0" collapsed="false">
      <c r="A258" s="1" t="s">
        <v>400</v>
      </c>
      <c r="B258" s="1" t="n">
        <v>12</v>
      </c>
      <c r="C258" s="1" t="s">
        <v>45</v>
      </c>
      <c r="D258" s="1" t="n">
        <v>45</v>
      </c>
      <c r="E258" s="1" t="n">
        <v>199</v>
      </c>
    </row>
    <row r="259" customFormat="false" ht="15" hidden="false" customHeight="true" outlineLevel="0" collapsed="false">
      <c r="A259" s="1" t="s">
        <v>400</v>
      </c>
      <c r="B259" s="1" t="n">
        <v>12</v>
      </c>
      <c r="C259" s="1" t="s">
        <v>45</v>
      </c>
      <c r="D259" s="1" t="n">
        <v>60</v>
      </c>
      <c r="E259" s="1" t="n">
        <v>204</v>
      </c>
    </row>
    <row r="260" customFormat="false" ht="15" hidden="false" customHeight="true" outlineLevel="0" collapsed="false">
      <c r="A260" s="1" t="s">
        <v>400</v>
      </c>
      <c r="B260" s="1" t="n">
        <v>12</v>
      </c>
      <c r="C260" s="1" t="s">
        <v>45</v>
      </c>
      <c r="D260" s="1" t="n">
        <v>90</v>
      </c>
      <c r="E260" s="1" t="n">
        <v>120</v>
      </c>
    </row>
    <row r="261" customFormat="false" ht="15" hidden="false" customHeight="true" outlineLevel="0" collapsed="false">
      <c r="A261" s="1" t="s">
        <v>400</v>
      </c>
      <c r="B261" s="1" t="n">
        <v>12</v>
      </c>
      <c r="C261" s="1" t="s">
        <v>49</v>
      </c>
      <c r="D261" s="1" t="n">
        <v>0</v>
      </c>
      <c r="E261" s="1" t="n">
        <v>264</v>
      </c>
    </row>
    <row r="262" customFormat="false" ht="15" hidden="false" customHeight="true" outlineLevel="0" collapsed="false">
      <c r="A262" s="1" t="s">
        <v>400</v>
      </c>
      <c r="B262" s="1" t="n">
        <v>12</v>
      </c>
      <c r="C262" s="1" t="s">
        <v>49</v>
      </c>
      <c r="D262" s="1" t="n">
        <v>3</v>
      </c>
      <c r="E262" s="1" t="n">
        <v>220</v>
      </c>
    </row>
    <row r="263" customFormat="false" ht="15" hidden="false" customHeight="true" outlineLevel="0" collapsed="false">
      <c r="A263" s="1" t="s">
        <v>400</v>
      </c>
      <c r="B263" s="1" t="n">
        <v>12</v>
      </c>
      <c r="C263" s="1" t="s">
        <v>49</v>
      </c>
      <c r="D263" s="1" t="n">
        <v>7</v>
      </c>
      <c r="E263" s="1" t="n">
        <v>176</v>
      </c>
    </row>
    <row r="264" customFormat="false" ht="15" hidden="false" customHeight="true" outlineLevel="0" collapsed="false">
      <c r="A264" s="1" t="s">
        <v>400</v>
      </c>
      <c r="B264" s="1" t="n">
        <v>12</v>
      </c>
      <c r="C264" s="1" t="s">
        <v>49</v>
      </c>
      <c r="D264" s="1" t="n">
        <v>14</v>
      </c>
      <c r="E264" s="1" t="n">
        <v>133</v>
      </c>
    </row>
    <row r="265" customFormat="false" ht="15" hidden="false" customHeight="true" outlineLevel="0" collapsed="false">
      <c r="A265" s="1" t="s">
        <v>400</v>
      </c>
      <c r="B265" s="1" t="n">
        <v>12</v>
      </c>
      <c r="C265" s="1" t="s">
        <v>49</v>
      </c>
      <c r="D265" s="1" t="n">
        <v>21</v>
      </c>
      <c r="E265" s="1" t="n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6"/>
  </cols>
  <sheetData>
    <row r="1" customFormat="false" ht="19.5" hidden="false" customHeight="true" outlineLevel="0" collapsed="false">
      <c r="A1" s="9" t="s">
        <v>470</v>
      </c>
      <c r="B1" s="9"/>
      <c r="C1" s="9"/>
      <c r="D1" s="9"/>
      <c r="E1" s="9"/>
      <c r="F1" s="9"/>
    </row>
    <row r="2" customFormat="false" ht="27.75" hidden="false" customHeight="true" outlineLevel="0" collapsed="false">
      <c r="A2" s="3" t="s">
        <v>471</v>
      </c>
      <c r="B2" s="3"/>
      <c r="C2" s="3"/>
      <c r="D2" s="3"/>
      <c r="E2" s="3"/>
      <c r="F2" s="3"/>
      <c r="G2" s="3"/>
      <c r="H2" s="3"/>
    </row>
    <row r="4" customFormat="false" ht="26.25" hidden="false" customHeight="true" outlineLevel="0" collapsed="false">
      <c r="A4" s="6" t="s">
        <v>472</v>
      </c>
      <c r="B4" s="6" t="s">
        <v>473</v>
      </c>
      <c r="C4" s="6" t="s">
        <v>474</v>
      </c>
      <c r="D4" s="6" t="s">
        <v>475</v>
      </c>
      <c r="E4" s="6" t="s">
        <v>476</v>
      </c>
    </row>
    <row r="5" customFormat="false" ht="15" hidden="false" customHeight="true" outlineLevel="0" collapsed="false">
      <c r="A5" s="1" t="n">
        <v>180</v>
      </c>
      <c r="B5" s="1" t="n">
        <f aca="false">SUMIFS(Pickup_Detail!$E$2:$E$265,Pickup_Detail!$B$2:$B$265,10,Pickup_Detail!$D$2:$D$265,"&gt;="&amp;A5)</f>
        <v>172</v>
      </c>
      <c r="C5" s="7" t="n">
        <f aca="false">B5/9300</f>
        <v>0.018494623655914</v>
      </c>
      <c r="D5" s="1" t="n">
        <f aca="false">SUMIFS(Pickup_Detail!$E$2:$E$265,Pickup_Detail!$B$2:$B$265,12,Pickup_Detail!$D$2:$D$265,"&gt;="&amp;A5)</f>
        <v>136</v>
      </c>
      <c r="E5" s="7" t="n">
        <f aca="false">D5/9300</f>
        <v>0.0146236559139785</v>
      </c>
    </row>
    <row r="6" customFormat="false" ht="15" hidden="false" customHeight="true" outlineLevel="0" collapsed="false">
      <c r="A6" s="1" t="n">
        <v>120</v>
      </c>
      <c r="B6" s="1" t="n">
        <f aca="false">SUMIFS(Pickup_Detail!$E$2:$E$265,Pickup_Detail!$B$2:$B$265,10,Pickup_Detail!$D$2:$D$265,"&gt;="&amp;A6)</f>
        <v>388</v>
      </c>
      <c r="C6" s="7" t="n">
        <f aca="false">B6/9300</f>
        <v>0.0417204301075269</v>
      </c>
      <c r="D6" s="1" t="n">
        <f aca="false">SUMIFS(Pickup_Detail!$E$2:$E$265,Pickup_Detail!$B$2:$B$265,12,Pickup_Detail!$D$2:$D$265,"&gt;="&amp;A6)</f>
        <v>305</v>
      </c>
      <c r="E6" s="7" t="n">
        <f aca="false">D6/9300</f>
        <v>0.0327956989247312</v>
      </c>
    </row>
    <row r="7" customFormat="false" ht="15" hidden="false" customHeight="true" outlineLevel="0" collapsed="false">
      <c r="A7" s="1" t="n">
        <v>90</v>
      </c>
      <c r="B7" s="1" t="n">
        <f aca="false">SUMIFS(Pickup_Detail!$E$2:$E$265,Pickup_Detail!$B$2:$B$265,10,Pickup_Detail!$D$2:$D$265,"&gt;="&amp;A7)</f>
        <v>752</v>
      </c>
      <c r="C7" s="7" t="n">
        <f aca="false">B7/9300</f>
        <v>0.0808602150537634</v>
      </c>
      <c r="D7" s="1" t="n">
        <f aca="false">SUMIFS(Pickup_Detail!$E$2:$E$265,Pickup_Detail!$B$2:$B$265,12,Pickup_Detail!$D$2:$D$265,"&gt;="&amp;A7)</f>
        <v>595</v>
      </c>
      <c r="E7" s="7" t="n">
        <f aca="false">D7/9300</f>
        <v>0.0639784946236559</v>
      </c>
    </row>
    <row r="8" customFormat="false" ht="15" hidden="false" customHeight="true" outlineLevel="0" collapsed="false">
      <c r="A8" s="1" t="n">
        <v>60</v>
      </c>
      <c r="B8" s="1" t="n">
        <f aca="false">SUMIFS(Pickup_Detail!$E$2:$E$265,Pickup_Detail!$B$2:$B$265,10,Pickup_Detail!$D$2:$D$265,"&gt;="&amp;A8)</f>
        <v>1177</v>
      </c>
      <c r="C8" s="7" t="n">
        <f aca="false">B8/9300</f>
        <v>0.126559139784946</v>
      </c>
      <c r="D8" s="1" t="n">
        <f aca="false">SUMIFS(Pickup_Detail!$E$2:$E$265,Pickup_Detail!$B$2:$B$265,12,Pickup_Detail!$D$2:$D$265,"&gt;="&amp;A8)</f>
        <v>936</v>
      </c>
      <c r="E8" s="7" t="n">
        <f aca="false">D8/9300</f>
        <v>0.100645161290323</v>
      </c>
    </row>
    <row r="9" customFormat="false" ht="15" hidden="false" customHeight="true" outlineLevel="0" collapsed="false">
      <c r="A9" s="1" t="n">
        <v>45</v>
      </c>
      <c r="B9" s="1" t="n">
        <f aca="false">SUMIFS(Pickup_Detail!$E$2:$E$265,Pickup_Detail!$B$2:$B$265,10,Pickup_Detail!$D$2:$D$265,"&gt;="&amp;A9)</f>
        <v>1428</v>
      </c>
      <c r="C9" s="7" t="n">
        <f aca="false">B9/9300</f>
        <v>0.153548387096774</v>
      </c>
      <c r="D9" s="1" t="n">
        <f aca="false">SUMIFS(Pickup_Detail!$E$2:$E$265,Pickup_Detail!$B$2:$B$265,12,Pickup_Detail!$D$2:$D$265,"&gt;="&amp;A9)</f>
        <v>1135</v>
      </c>
      <c r="E9" s="7" t="n">
        <f aca="false">D9/9300</f>
        <v>0.122043010752688</v>
      </c>
    </row>
    <row r="10" customFormat="false" ht="15" hidden="false" customHeight="true" outlineLevel="0" collapsed="false">
      <c r="A10" s="1" t="n">
        <v>30</v>
      </c>
      <c r="B10" s="1" t="n">
        <f aca="false">SUMIFS(Pickup_Detail!$E$2:$E$265,Pickup_Detail!$B$2:$B$265,10,Pickup_Detail!$D$2:$D$265,"&gt;="&amp;A10)</f>
        <v>1841</v>
      </c>
      <c r="C10" s="7" t="n">
        <f aca="false">B10/9300</f>
        <v>0.197956989247312</v>
      </c>
      <c r="D10" s="1" t="n">
        <f aca="false">SUMIFS(Pickup_Detail!$E$2:$E$265,Pickup_Detail!$B$2:$B$265,12,Pickup_Detail!$D$2:$D$265,"&gt;="&amp;A10)</f>
        <v>1461</v>
      </c>
      <c r="E10" s="7" t="n">
        <f aca="false">D10/9300</f>
        <v>0.157096774193548</v>
      </c>
    </row>
    <row r="11" customFormat="false" ht="15" hidden="false" customHeight="true" outlineLevel="0" collapsed="false">
      <c r="A11" s="1" t="n">
        <v>21</v>
      </c>
      <c r="B11" s="1" t="n">
        <f aca="false">SUMIFS(Pickup_Detail!$E$2:$E$265,Pickup_Detail!$B$2:$B$265,10,Pickup_Detail!$D$2:$D$265,"&gt;="&amp;A11)</f>
        <v>2207</v>
      </c>
      <c r="C11" s="7" t="n">
        <f aca="false">B11/9300</f>
        <v>0.237311827956989</v>
      </c>
      <c r="D11" s="1" t="n">
        <f aca="false">SUMIFS(Pickup_Detail!$E$2:$E$265,Pickup_Detail!$B$2:$B$265,12,Pickup_Detail!$D$2:$D$265,"&gt;="&amp;A11)</f>
        <v>1748</v>
      </c>
      <c r="E11" s="7" t="n">
        <f aca="false">D11/9300</f>
        <v>0.187956989247312</v>
      </c>
    </row>
    <row r="12" customFormat="false" ht="15" hidden="false" customHeight="true" outlineLevel="0" collapsed="false">
      <c r="A12" s="1" t="n">
        <v>14</v>
      </c>
      <c r="B12" s="1" t="n">
        <f aca="false">SUMIFS(Pickup_Detail!$E$2:$E$265,Pickup_Detail!$B$2:$B$265,10,Pickup_Detail!$D$2:$D$265,"&gt;="&amp;A12)</f>
        <v>2988</v>
      </c>
      <c r="C12" s="7" t="n">
        <f aca="false">B12/9300</f>
        <v>0.321290322580645</v>
      </c>
      <c r="D12" s="1" t="n">
        <f aca="false">SUMIFS(Pickup_Detail!$E$2:$E$265,Pickup_Detail!$B$2:$B$265,12,Pickup_Detail!$D$2:$D$265,"&gt;="&amp;A12)</f>
        <v>2363</v>
      </c>
      <c r="E12" s="7" t="n">
        <f aca="false">D12/9300</f>
        <v>0.254086021505376</v>
      </c>
    </row>
    <row r="13" customFormat="false" ht="15" hidden="false" customHeight="true" outlineLevel="0" collapsed="false">
      <c r="A13" s="1" t="n">
        <v>7</v>
      </c>
      <c r="B13" s="1" t="n">
        <f aca="false">SUMIFS(Pickup_Detail!$E$2:$E$265,Pickup_Detail!$B$2:$B$265,10,Pickup_Detail!$D$2:$D$265,"&gt;="&amp;A13)</f>
        <v>3904</v>
      </c>
      <c r="C13" s="7" t="n">
        <f aca="false">B13/9300</f>
        <v>0.419784946236559</v>
      </c>
      <c r="D13" s="1" t="n">
        <f aca="false">SUMIFS(Pickup_Detail!$E$2:$E$265,Pickup_Detail!$B$2:$B$265,12,Pickup_Detail!$D$2:$D$265,"&gt;="&amp;A13)</f>
        <v>3073</v>
      </c>
      <c r="E13" s="7" t="n">
        <f aca="false">D13/9300</f>
        <v>0.330430107526882</v>
      </c>
    </row>
    <row r="14" customFormat="false" ht="15" hidden="false" customHeight="true" outlineLevel="0" collapsed="false">
      <c r="A14" s="1" t="n">
        <v>3</v>
      </c>
      <c r="B14" s="1" t="n">
        <f aca="false">SUMIFS(Pickup_Detail!$E$2:$E$265,Pickup_Detail!$B$2:$B$265,10,Pickup_Detail!$D$2:$D$265,"&gt;="&amp;A14)</f>
        <v>4821</v>
      </c>
      <c r="C14" s="7" t="n">
        <f aca="false">B14/9300</f>
        <v>0.518387096774194</v>
      </c>
      <c r="D14" s="1" t="n">
        <f aca="false">SUMIFS(Pickup_Detail!$E$2:$E$265,Pickup_Detail!$B$2:$B$265,12,Pickup_Detail!$D$2:$D$265,"&gt;="&amp;A14)</f>
        <v>3792</v>
      </c>
      <c r="E14" s="7" t="n">
        <f aca="false">D14/9300</f>
        <v>0.407741935483871</v>
      </c>
    </row>
    <row r="15" customFormat="false" ht="15" hidden="false" customHeight="true" outlineLevel="0" collapsed="false">
      <c r="A15" s="1" t="n">
        <v>0</v>
      </c>
      <c r="B15" s="1" t="n">
        <f aca="false">SUMIFS(Pickup_Detail!$E$2:$E$265,Pickup_Detail!$B$2:$B$265,10,Pickup_Detail!$D$2:$D$265,"&gt;="&amp;A15)</f>
        <v>5538</v>
      </c>
      <c r="C15" s="7" t="n">
        <f aca="false">B15/9300</f>
        <v>0.595483870967742</v>
      </c>
      <c r="D15" s="1" t="n">
        <f aca="false">SUMIFS(Pickup_Detail!$E$2:$E$265,Pickup_Detail!$B$2:$B$265,12,Pickup_Detail!$D$2:$D$265,"&gt;="&amp;A15)</f>
        <v>4351</v>
      </c>
      <c r="E15" s="7" t="n">
        <f aca="false">D15/9300</f>
        <v>0.467849462365591</v>
      </c>
    </row>
    <row r="18" customFormat="false" ht="15" hidden="false" customHeight="true" outlineLevel="0" collapsed="false">
      <c r="A18" s="4" t="s">
        <v>477</v>
      </c>
    </row>
    <row r="19" customFormat="false" ht="33.75" hidden="false" customHeight="true" outlineLevel="0" collapsed="false">
      <c r="A19" s="23" t="s">
        <v>478</v>
      </c>
      <c r="B19" s="23"/>
      <c r="C19" s="23"/>
      <c r="D19" s="23"/>
      <c r="E19" s="23"/>
      <c r="F19" s="23"/>
    </row>
  </sheetData>
  <mergeCells count="3">
    <mergeCell ref="A1:F1"/>
    <mergeCell ref="A2:H2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3"/>
    <col collapsed="false" customWidth="true" hidden="false" outlineLevel="0" max="3" min="3" style="1" width="8"/>
    <col collapsed="false" customWidth="true" hidden="false" outlineLevel="0" max="5" min="4" style="1" width="12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1" min="10" style="1" width="12"/>
    <col collapsed="false" customWidth="true" hidden="false" outlineLevel="0" max="12" min="12" style="1" width="13"/>
    <col collapsed="false" customWidth="true" hidden="false" outlineLevel="0" max="13" min="13" style="1" width="11"/>
    <col collapsed="false" customWidth="true" hidden="false" outlineLevel="0" max="15" min="14" style="1" width="13"/>
    <col collapsed="false" customWidth="true" hidden="false" outlineLevel="0" max="16" min="16" style="1" width="16"/>
  </cols>
  <sheetData>
    <row r="1" customFormat="false" ht="19.5" hidden="false" customHeight="true" outlineLevel="0" collapsed="false">
      <c r="A1" s="9" t="s">
        <v>479</v>
      </c>
      <c r="B1" s="9"/>
      <c r="C1" s="9"/>
      <c r="D1" s="9"/>
      <c r="E1" s="9"/>
      <c r="F1" s="9"/>
    </row>
    <row r="2" customFormat="false" ht="27.75" hidden="false" customHeight="true" outlineLevel="0" collapsed="false">
      <c r="A2" s="3" t="s">
        <v>480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51.75" hidden="false" customHeight="true" outlineLevel="0" collapsed="false">
      <c r="A4" s="6" t="s">
        <v>481</v>
      </c>
      <c r="B4" s="6" t="s">
        <v>482</v>
      </c>
      <c r="C4" s="6" t="s">
        <v>483</v>
      </c>
      <c r="D4" s="6" t="s">
        <v>484</v>
      </c>
      <c r="E4" s="6" t="s">
        <v>485</v>
      </c>
      <c r="F4" s="6" t="s">
        <v>486</v>
      </c>
      <c r="G4" s="6" t="s">
        <v>450</v>
      </c>
      <c r="H4" s="6" t="s">
        <v>487</v>
      </c>
      <c r="I4" s="6" t="s">
        <v>488</v>
      </c>
      <c r="J4" s="6" t="s">
        <v>489</v>
      </c>
      <c r="K4" s="6" t="s">
        <v>490</v>
      </c>
      <c r="L4" s="6" t="s">
        <v>491</v>
      </c>
      <c r="M4" s="6" t="s">
        <v>492</v>
      </c>
      <c r="N4" s="6" t="s">
        <v>493</v>
      </c>
      <c r="O4" s="6" t="s">
        <v>494</v>
      </c>
      <c r="P4" s="6" t="s">
        <v>495</v>
      </c>
    </row>
    <row r="5" customFormat="false" ht="15" hidden="false" customHeight="true" outlineLevel="0" collapsed="false">
      <c r="A5" s="1" t="s">
        <v>496</v>
      </c>
      <c r="B5" s="24" t="s">
        <v>192</v>
      </c>
      <c r="C5" s="24" t="n">
        <v>3</v>
      </c>
      <c r="D5" s="24" t="n">
        <v>150</v>
      </c>
      <c r="E5" s="25" t="n">
        <v>85</v>
      </c>
      <c r="F5" s="10" t="n">
        <f aca="false">C5*D5*E5</f>
        <v>38250</v>
      </c>
      <c r="G5" s="1" t="str">
        <f aca="false">TEXT(B5,"dddd")</f>
        <v>Wednesday</v>
      </c>
      <c r="H5" s="7" t="n">
        <f aca="false">INDEX(Demand_Pattern!$B$4:$B$10,MATCH(G5,Demand_Pattern!$A$4:$A$10,0))</f>
        <v>0.551069182389937</v>
      </c>
      <c r="I5" s="1" t="n">
        <f aca="false">ROUND(H5*300,0)</f>
        <v>165</v>
      </c>
      <c r="J5" s="1" t="n">
        <f aca="false">300-D5</f>
        <v>150</v>
      </c>
      <c r="K5" s="1" t="n">
        <f aca="false">MAX(0,I5-J5)</f>
        <v>15</v>
      </c>
      <c r="L5" s="1" t="n">
        <f aca="false">K5*C5</f>
        <v>45</v>
      </c>
      <c r="M5" s="8" t="n">
        <f aca="false">INDEX(Demand_Pattern!$C$4:$C$10,MATCH(G5,Demand_Pattern!$A$4:$A$10,0))</f>
        <v>107.413844713211</v>
      </c>
      <c r="N5" s="10" t="n">
        <f aca="false">L5*M5</f>
        <v>4833.62301209451</v>
      </c>
      <c r="O5" s="10" t="n">
        <f aca="false">F5-N5</f>
        <v>33416.3769879055</v>
      </c>
      <c r="P5" s="1" t="str">
        <f aca="false">IF(O5&gt;0,"Accept","Negotiate Rate Up")</f>
        <v>Accept</v>
      </c>
    </row>
    <row r="6" customFormat="false" ht="15" hidden="false" customHeight="true" outlineLevel="0" collapsed="false">
      <c r="A6" s="1" t="s">
        <v>497</v>
      </c>
      <c r="B6" s="24" t="s">
        <v>260</v>
      </c>
      <c r="C6" s="24" t="n">
        <v>1</v>
      </c>
      <c r="D6" s="24" t="n">
        <v>60</v>
      </c>
      <c r="E6" s="25" t="n">
        <v>110</v>
      </c>
      <c r="F6" s="10" t="n">
        <f aca="false">C6*D6*E6</f>
        <v>6600</v>
      </c>
      <c r="G6" s="1" t="str">
        <f aca="false">TEXT(B6,"dddd")</f>
        <v>Saturday</v>
      </c>
      <c r="H6" s="7" t="n">
        <f aca="false">INDEX(Demand_Pattern!$B$4:$B$10,MATCH(G6,Demand_Pattern!$A$4:$A$10,0))</f>
        <v>0.399679487179487</v>
      </c>
      <c r="I6" s="1" t="n">
        <f aca="false">ROUND(H6*300,0)</f>
        <v>120</v>
      </c>
      <c r="J6" s="1" t="n">
        <f aca="false">300-D6</f>
        <v>240</v>
      </c>
      <c r="K6" s="1" t="n">
        <f aca="false">MAX(0,I6-J6)</f>
        <v>0</v>
      </c>
      <c r="L6" s="1" t="n">
        <f aca="false">K6*C6</f>
        <v>0</v>
      </c>
      <c r="M6" s="8" t="n">
        <f aca="false">INDEX(Demand_Pattern!$C$4:$C$10,MATCH(G6,Demand_Pattern!$A$4:$A$10,0))</f>
        <v>98.434965372027</v>
      </c>
      <c r="N6" s="10" t="n">
        <f aca="false">L6*M6</f>
        <v>0</v>
      </c>
      <c r="O6" s="10" t="n">
        <f aca="false">F6-N6</f>
        <v>6600</v>
      </c>
      <c r="P6" s="1" t="str">
        <f aca="false">IF(O6&gt;0,"Accept","Negotiate Rate Up")</f>
        <v>Accept</v>
      </c>
    </row>
    <row r="7" customFormat="false" ht="15" hidden="false" customHeight="true" outlineLevel="0" collapsed="false">
      <c r="A7" s="1" t="s">
        <v>498</v>
      </c>
      <c r="B7" s="24" t="s">
        <v>344</v>
      </c>
      <c r="C7" s="24" t="n">
        <v>4</v>
      </c>
      <c r="D7" s="24" t="n">
        <v>270</v>
      </c>
      <c r="E7" s="25" t="n">
        <v>50</v>
      </c>
      <c r="F7" s="10" t="n">
        <f aca="false">C7*D7*E7</f>
        <v>54000</v>
      </c>
      <c r="G7" s="1" t="str">
        <f aca="false">TEXT(B7,"dddd")</f>
        <v>Wednesday</v>
      </c>
      <c r="H7" s="7" t="n">
        <f aca="false">INDEX(Demand_Pattern!$B$4:$B$10,MATCH(G7,Demand_Pattern!$A$4:$A$10,0))</f>
        <v>0.551069182389937</v>
      </c>
      <c r="I7" s="1" t="n">
        <f aca="false">ROUND(H7*300,0)</f>
        <v>165</v>
      </c>
      <c r="J7" s="1" t="n">
        <f aca="false">300-D7</f>
        <v>30</v>
      </c>
      <c r="K7" s="1" t="n">
        <f aca="false">MAX(0,I7-J7)</f>
        <v>135</v>
      </c>
      <c r="L7" s="1" t="n">
        <f aca="false">K7*C7</f>
        <v>540</v>
      </c>
      <c r="M7" s="8" t="n">
        <f aca="false">INDEX(Demand_Pattern!$C$4:$C$10,MATCH(G7,Demand_Pattern!$A$4:$A$10,0))</f>
        <v>107.413844713211</v>
      </c>
      <c r="N7" s="10" t="n">
        <f aca="false">L7*M7</f>
        <v>58003.4761451341</v>
      </c>
      <c r="O7" s="10" t="n">
        <f aca="false">F7-N7</f>
        <v>-4003.47614513407</v>
      </c>
      <c r="P7" s="1" t="str">
        <f aca="false">IF(O7&gt;0,"Accept","Negotiate Rate Up")</f>
        <v>Negotiate Rate Up</v>
      </c>
    </row>
    <row r="8" customFormat="false" ht="15" hidden="false" customHeight="true" outlineLevel="0" collapsed="false">
      <c r="A8" s="1" t="s">
        <v>499</v>
      </c>
      <c r="B8" s="24" t="s">
        <v>69</v>
      </c>
      <c r="C8" s="24" t="n">
        <v>2</v>
      </c>
      <c r="D8" s="24" t="n">
        <v>100</v>
      </c>
      <c r="E8" s="25" t="n">
        <v>70</v>
      </c>
      <c r="F8" s="10" t="n">
        <f aca="false">C8*D8*E8</f>
        <v>14000</v>
      </c>
      <c r="G8" s="1" t="str">
        <f aca="false">TEXT(B8,"dddd")</f>
        <v>Wednesday</v>
      </c>
      <c r="H8" s="7" t="n">
        <f aca="false">INDEX(Demand_Pattern!$B$4:$B$10,MATCH(G8,Demand_Pattern!$A$4:$A$10,0))</f>
        <v>0.551069182389937</v>
      </c>
      <c r="I8" s="1" t="n">
        <f aca="false">ROUND(H8*300,0)</f>
        <v>165</v>
      </c>
      <c r="J8" s="1" t="n">
        <f aca="false">300-D8</f>
        <v>200</v>
      </c>
      <c r="K8" s="1" t="n">
        <f aca="false">MAX(0,I8-J8)</f>
        <v>0</v>
      </c>
      <c r="L8" s="1" t="n">
        <f aca="false">K8*C8</f>
        <v>0</v>
      </c>
      <c r="M8" s="8" t="n">
        <f aca="false">INDEX(Demand_Pattern!$C$4:$C$10,MATCH(G8,Demand_Pattern!$A$4:$A$10,0))</f>
        <v>107.413844713211</v>
      </c>
      <c r="N8" s="10" t="n">
        <f aca="false">L8*M8</f>
        <v>0</v>
      </c>
      <c r="O8" s="10" t="n">
        <f aca="false">F8-N8</f>
        <v>14000</v>
      </c>
      <c r="P8" s="1" t="str">
        <f aca="false">IF(O8&gt;0,"Accept","Negotiate Rate Up")</f>
        <v>Accept</v>
      </c>
    </row>
    <row r="9" customFormat="false" ht="15" hidden="false" customHeight="true" outlineLevel="0" collapsed="false">
      <c r="A9" s="1" t="s">
        <v>500</v>
      </c>
      <c r="B9" s="24" t="s">
        <v>405</v>
      </c>
      <c r="C9" s="24" t="n">
        <v>1</v>
      </c>
      <c r="D9" s="24" t="n">
        <v>40</v>
      </c>
      <c r="E9" s="25" t="n">
        <v>75</v>
      </c>
      <c r="F9" s="10" t="n">
        <f aca="false">C9*D9*E9</f>
        <v>3000</v>
      </c>
      <c r="G9" s="1" t="str">
        <f aca="false">TEXT(B9,"dddd")</f>
        <v>Saturday</v>
      </c>
      <c r="H9" s="7" t="n">
        <f aca="false">INDEX(Demand_Pattern!$B$4:$B$10,MATCH(G9,Demand_Pattern!$A$4:$A$10,0))</f>
        <v>0.399679487179487</v>
      </c>
      <c r="I9" s="1" t="n">
        <f aca="false">ROUND(H9*300,0)</f>
        <v>120</v>
      </c>
      <c r="J9" s="1" t="n">
        <f aca="false">300-D9</f>
        <v>260</v>
      </c>
      <c r="K9" s="1" t="n">
        <f aca="false">MAX(0,I9-J9)</f>
        <v>0</v>
      </c>
      <c r="L9" s="1" t="n">
        <f aca="false">K9*C9</f>
        <v>0</v>
      </c>
      <c r="M9" s="8" t="n">
        <f aca="false">INDEX(Demand_Pattern!$C$4:$C$10,MATCH(G9,Demand_Pattern!$A$4:$A$10,0))</f>
        <v>98.434965372027</v>
      </c>
      <c r="N9" s="10" t="n">
        <f aca="false">L9*M9</f>
        <v>0</v>
      </c>
      <c r="O9" s="10" t="n">
        <f aca="false">F9-N9</f>
        <v>3000</v>
      </c>
      <c r="P9" s="1" t="str">
        <f aca="false">IF(O9&gt;0,"Accept","Negotiate Rate Up")</f>
        <v>Accept</v>
      </c>
    </row>
  </sheetData>
  <mergeCells count="2">
    <mergeCell ref="A1:F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9" t="s">
        <v>501</v>
      </c>
      <c r="B1" s="9"/>
      <c r="C1" s="9"/>
      <c r="D1" s="9"/>
      <c r="E1" s="9"/>
      <c r="F1" s="9"/>
      <c r="G1" s="9"/>
    </row>
    <row r="2" customFormat="false" ht="27.75" hidden="false" customHeight="true" outlineLevel="0" collapsed="false">
      <c r="A2" s="3" t="s">
        <v>502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503</v>
      </c>
      <c r="C4" s="26" t="n">
        <v>0.02</v>
      </c>
    </row>
    <row r="5" customFormat="false" ht="15" hidden="false" customHeight="true" outlineLevel="0" collapsed="false">
      <c r="A5" s="4" t="s">
        <v>504</v>
      </c>
      <c r="C5" s="26" t="n">
        <v>0.03</v>
      </c>
    </row>
    <row r="7" customFormat="false" ht="26.25" hidden="false" customHeight="true" outlineLevel="0" collapsed="false">
      <c r="A7" s="6" t="s">
        <v>435</v>
      </c>
      <c r="B7" s="6" t="s">
        <v>505</v>
      </c>
      <c r="C7" s="6" t="s">
        <v>506</v>
      </c>
      <c r="D7" s="6" t="s">
        <v>507</v>
      </c>
      <c r="E7" s="6" t="s">
        <v>508</v>
      </c>
      <c r="F7" s="6" t="s">
        <v>509</v>
      </c>
      <c r="G7" s="6" t="s">
        <v>510</v>
      </c>
    </row>
    <row r="8" customFormat="false" ht="15" hidden="false" customHeight="true" outlineLevel="0" collapsed="false">
      <c r="A8" s="1" t="s">
        <v>511</v>
      </c>
      <c r="B8" s="7" t="n">
        <f aca="false">INDEX(KPI_Summary!$E$4:$E$15,MATCH("January",KPI_Summary!$A$4:$A$15,0))</f>
        <v>0.38258064516129</v>
      </c>
      <c r="C8" s="7" t="n">
        <f aca="false">B8*(1+$C$4)</f>
        <v>0.390232258064516</v>
      </c>
      <c r="D8" s="8" t="n">
        <f aca="false">INDEX(KPI_Summary!$F$4:$F$15,MATCH("January",KPI_Summary!$A$4:$A$15,0))</f>
        <v>97.5321219786397</v>
      </c>
      <c r="E8" s="8" t="n">
        <f aca="false">D8*(1+$C$5)</f>
        <v>100.458085637999</v>
      </c>
      <c r="F8" s="8" t="n">
        <f aca="false">C8*E8</f>
        <v>39.2019855993548</v>
      </c>
      <c r="G8" s="10" t="n">
        <f aca="false">F8*300*31</f>
        <v>364578.466074</v>
      </c>
    </row>
    <row r="9" customFormat="false" ht="15" hidden="false" customHeight="true" outlineLevel="0" collapsed="false">
      <c r="A9" s="1" t="s">
        <v>512</v>
      </c>
      <c r="B9" s="7" t="n">
        <f aca="false">INDEX(KPI_Summary!$E$4:$E$15,MATCH("February",KPI_Summary!$A$4:$A$15,0))</f>
        <v>0.4525</v>
      </c>
      <c r="C9" s="7" t="n">
        <f aca="false">B9*(1+$C$4)</f>
        <v>0.46155</v>
      </c>
      <c r="D9" s="8" t="n">
        <f aca="false">INDEX(KPI_Summary!$F$4:$F$15,MATCH("February",KPI_Summary!$A$4:$A$15,0))</f>
        <v>101.057795317022</v>
      </c>
      <c r="E9" s="8" t="n">
        <f aca="false">D9*(1+$C$5)</f>
        <v>104.089529176532</v>
      </c>
      <c r="F9" s="8" t="n">
        <f aca="false">C9*E9</f>
        <v>48.0425221914286</v>
      </c>
      <c r="G9" s="10" t="n">
        <f aca="false">F9*300*28</f>
        <v>403557.186408</v>
      </c>
    </row>
    <row r="10" customFormat="false" ht="15" hidden="false" customHeight="true" outlineLevel="0" collapsed="false">
      <c r="A10" s="1" t="s">
        <v>513</v>
      </c>
      <c r="B10" s="7" t="n">
        <f aca="false">INDEX(KPI_Summary!$E$4:$E$15,MATCH("March",KPI_Summary!$A$4:$A$15,0))</f>
        <v>0.533010752688172</v>
      </c>
      <c r="C10" s="7" t="n">
        <f aca="false">B10*(1+$C$4)</f>
        <v>0.543670967741936</v>
      </c>
      <c r="D10" s="8" t="n">
        <f aca="false">INDEX(KPI_Summary!$F$4:$F$15,MATCH("March",KPI_Summary!$A$4:$A$15,0))</f>
        <v>106.594490619326</v>
      </c>
      <c r="E10" s="8" t="n">
        <f aca="false">D10*(1+$C$5)</f>
        <v>109.792325337906</v>
      </c>
      <c r="F10" s="8" t="n">
        <f aca="false">C10*E10</f>
        <v>59.6908997670968</v>
      </c>
      <c r="G10" s="10" t="n">
        <f aca="false">F10*300*31</f>
        <v>555125.367834</v>
      </c>
    </row>
  </sheetData>
  <mergeCells count="2">
    <mergeCell ref="A1:G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31" min="2" style="1" width="13"/>
  </cols>
  <sheetData>
    <row r="2" customFormat="false" ht="19.5" hidden="false" customHeight="true" outlineLevel="0" collapsed="false">
      <c r="B2" s="9" t="s">
        <v>514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customFormat="false" ht="15" hidden="false" customHeight="true" outlineLevel="0" collapsed="false">
      <c r="B4" s="27" t="s">
        <v>515</v>
      </c>
      <c r="C4" s="27"/>
      <c r="D4" s="27"/>
      <c r="E4" s="27" t="s">
        <v>516</v>
      </c>
      <c r="F4" s="27"/>
      <c r="G4" s="27"/>
      <c r="H4" s="27" t="s">
        <v>517</v>
      </c>
      <c r="I4" s="27"/>
      <c r="J4" s="27"/>
      <c r="K4" s="27" t="s">
        <v>518</v>
      </c>
      <c r="L4" s="27"/>
      <c r="M4" s="27"/>
    </row>
    <row r="5" customFormat="false" ht="24" hidden="false" customHeight="true" outlineLevel="0" collapsed="false">
      <c r="B5" s="28" t="n">
        <f aca="false">KPI_Summary!E16</f>
        <v>0.509890410958904</v>
      </c>
      <c r="C5" s="28"/>
      <c r="D5" s="28"/>
      <c r="E5" s="29" t="n">
        <f aca="false">KPI_Summary!F16</f>
        <v>105.759425966722</v>
      </c>
      <c r="F5" s="29"/>
      <c r="G5" s="29"/>
      <c r="H5" s="29" t="n">
        <f aca="false">KPI_Summary!G16</f>
        <v>53.9257171689498</v>
      </c>
      <c r="I5" s="29"/>
      <c r="J5" s="29"/>
      <c r="K5" s="30" t="n">
        <f aca="false">CompSet!B14</f>
        <v>99.7368446566357</v>
      </c>
      <c r="L5" s="30"/>
      <c r="M5" s="30"/>
    </row>
  </sheetData>
  <mergeCells count="9">
    <mergeCell ref="B2:M2"/>
    <mergeCell ref="B4:D4"/>
    <mergeCell ref="E4:G4"/>
    <mergeCell ref="H4:J4"/>
    <mergeCell ref="K4:M4"/>
    <mergeCell ref="B5:D5"/>
    <mergeCell ref="E5:G5"/>
    <mergeCell ref="H5:J5"/>
    <mergeCell ref="K5:M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8" min="2" style="1" width="14"/>
    <col collapsed="false" customWidth="true" hidden="false" outlineLevel="0" max="9" min="9" style="1" width="3"/>
  </cols>
  <sheetData>
    <row r="2" customFormat="false" ht="19.5" hidden="false" customHeight="true" outlineLevel="0" collapsed="false">
      <c r="B2" s="9" t="s">
        <v>519</v>
      </c>
      <c r="C2" s="9"/>
      <c r="D2" s="9"/>
      <c r="E2" s="9"/>
      <c r="F2" s="9"/>
      <c r="G2" s="9"/>
      <c r="H2" s="9"/>
    </row>
    <row r="3" customFormat="false" ht="15" hidden="false" customHeight="true" outlineLevel="0" collapsed="false">
      <c r="B3" s="17" t="s">
        <v>520</v>
      </c>
      <c r="C3" s="17"/>
      <c r="D3" s="17"/>
      <c r="E3" s="17"/>
      <c r="F3" s="17"/>
      <c r="G3" s="17"/>
      <c r="H3" s="17"/>
    </row>
    <row r="5" customFormat="false" ht="15" hidden="false" customHeight="true" outlineLevel="0" collapsed="false">
      <c r="B5" s="31" t="s">
        <v>521</v>
      </c>
      <c r="C5" s="31"/>
      <c r="D5" s="31"/>
      <c r="E5" s="31"/>
      <c r="F5" s="31"/>
      <c r="G5" s="31"/>
      <c r="H5" s="31"/>
    </row>
    <row r="6" customFormat="false" ht="72" hidden="false" customHeight="true" outlineLevel="0" collapsed="false">
      <c r="B6" s="32" t="s">
        <v>522</v>
      </c>
      <c r="C6" s="32"/>
      <c r="D6" s="32"/>
      <c r="E6" s="32"/>
      <c r="F6" s="32"/>
      <c r="G6" s="32"/>
      <c r="H6" s="32"/>
    </row>
    <row r="8" customFormat="false" ht="15" hidden="false" customHeight="true" outlineLevel="0" collapsed="false">
      <c r="B8" s="31" t="s">
        <v>523</v>
      </c>
      <c r="C8" s="31"/>
      <c r="D8" s="31"/>
      <c r="E8" s="31"/>
      <c r="F8" s="31"/>
      <c r="G8" s="31"/>
      <c r="H8" s="31"/>
    </row>
    <row r="9" customFormat="false" ht="72" hidden="false" customHeight="true" outlineLevel="0" collapsed="false">
      <c r="B9" s="32" t="s">
        <v>524</v>
      </c>
      <c r="C9" s="32"/>
      <c r="D9" s="32"/>
      <c r="E9" s="32"/>
      <c r="F9" s="32"/>
      <c r="G9" s="32"/>
      <c r="H9" s="32"/>
    </row>
    <row r="11" customFormat="false" ht="15" hidden="false" customHeight="true" outlineLevel="0" collapsed="false">
      <c r="B11" s="31" t="s">
        <v>525</v>
      </c>
      <c r="C11" s="31"/>
      <c r="D11" s="31"/>
      <c r="E11" s="31"/>
      <c r="F11" s="31"/>
      <c r="G11" s="31"/>
      <c r="H11" s="31"/>
    </row>
    <row r="12" customFormat="false" ht="72" hidden="false" customHeight="true" outlineLevel="0" collapsed="false">
      <c r="B12" s="32" t="s">
        <v>526</v>
      </c>
      <c r="C12" s="32"/>
      <c r="D12" s="32"/>
      <c r="E12" s="32"/>
      <c r="F12" s="32"/>
      <c r="G12" s="32"/>
      <c r="H12" s="32"/>
    </row>
    <row r="14" customFormat="false" ht="15" hidden="false" customHeight="true" outlineLevel="0" collapsed="false">
      <c r="B14" s="31" t="s">
        <v>527</v>
      </c>
      <c r="C14" s="31"/>
      <c r="D14" s="31"/>
      <c r="E14" s="31"/>
      <c r="F14" s="31"/>
      <c r="G14" s="31"/>
      <c r="H14" s="31"/>
    </row>
    <row r="15" customFormat="false" ht="72" hidden="false" customHeight="true" outlineLevel="0" collapsed="false">
      <c r="B15" s="32" t="s">
        <v>528</v>
      </c>
      <c r="C15" s="32"/>
      <c r="D15" s="32"/>
      <c r="E15" s="32"/>
      <c r="F15" s="32"/>
      <c r="G15" s="32"/>
      <c r="H15" s="32"/>
    </row>
    <row r="17" customFormat="false" ht="15" hidden="false" customHeight="true" outlineLevel="0" collapsed="false">
      <c r="B17" s="31" t="s">
        <v>529</v>
      </c>
      <c r="C17" s="31"/>
      <c r="D17" s="31"/>
      <c r="E17" s="31"/>
      <c r="F17" s="31"/>
      <c r="G17" s="31"/>
      <c r="H17" s="31"/>
    </row>
    <row r="18" customFormat="false" ht="72" hidden="false" customHeight="true" outlineLevel="0" collapsed="false">
      <c r="B18" s="32" t="s">
        <v>530</v>
      </c>
      <c r="C18" s="32"/>
      <c r="D18" s="32"/>
      <c r="E18" s="32"/>
      <c r="F18" s="32"/>
      <c r="G18" s="32"/>
      <c r="H18" s="32"/>
    </row>
    <row r="20" customFormat="false" ht="15" hidden="false" customHeight="true" outlineLevel="0" collapsed="false">
      <c r="B20" s="31" t="s">
        <v>531</v>
      </c>
      <c r="C20" s="31"/>
      <c r="D20" s="31"/>
      <c r="E20" s="31"/>
      <c r="F20" s="31"/>
      <c r="G20" s="31"/>
      <c r="H20" s="31"/>
    </row>
    <row r="21" customFormat="false" ht="72" hidden="false" customHeight="true" outlineLevel="0" collapsed="false">
      <c r="B21" s="32" t="s">
        <v>532</v>
      </c>
      <c r="C21" s="32"/>
      <c r="D21" s="32"/>
      <c r="E21" s="32"/>
      <c r="F21" s="32"/>
      <c r="G21" s="32"/>
      <c r="H21" s="32"/>
    </row>
    <row r="23" customFormat="false" ht="15" hidden="false" customHeight="true" outlineLevel="0" collapsed="false">
      <c r="B23" s="31" t="s">
        <v>533</v>
      </c>
      <c r="C23" s="31"/>
      <c r="D23" s="31"/>
      <c r="E23" s="31"/>
      <c r="F23" s="31"/>
      <c r="G23" s="31"/>
      <c r="H23" s="31"/>
    </row>
    <row r="24" customFormat="false" ht="72" hidden="false" customHeight="true" outlineLevel="0" collapsed="false">
      <c r="B24" s="32" t="s">
        <v>534</v>
      </c>
      <c r="C24" s="32"/>
      <c r="D24" s="32"/>
      <c r="E24" s="32"/>
      <c r="F24" s="32"/>
      <c r="G24" s="32"/>
      <c r="H24" s="32"/>
    </row>
  </sheetData>
  <mergeCells count="16">
    <mergeCell ref="B2:H2"/>
    <mergeCell ref="B3:H3"/>
    <mergeCell ref="B5:H5"/>
    <mergeCell ref="B6:H6"/>
    <mergeCell ref="B8:H8"/>
    <mergeCell ref="B9:H9"/>
    <mergeCell ref="B11:H11"/>
    <mergeCell ref="B12:H12"/>
    <mergeCell ref="B14:H14"/>
    <mergeCell ref="B15:H15"/>
    <mergeCell ref="B17:H17"/>
    <mergeCell ref="B18:H18"/>
    <mergeCell ref="B20:H20"/>
    <mergeCell ref="B21:H21"/>
    <mergeCell ref="B23:H23"/>
    <mergeCell ref="B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2026-08-05T10:30:59Z</dcterms:created>
  <dc:creator>openpyxl</dc:creator>
  <dc:description/>
  <dc:language>en-US</dc:language>
  <cp:lastModifiedBy/>
  <dcterms:modified xsi:type="dcterms:W3CDTF">2026-08-05T11:16:14Z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